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Developments\Crete Valley\WP3\Ontology selection\Results\"/>
    </mc:Choice>
  </mc:AlternateContent>
  <xr:revisionPtr revIDLastSave="0" documentId="13_ncr:1_{D2449B5E-F63F-4D9D-B779-B1E3BDE22386}" xr6:coauthVersionLast="47" xr6:coauthVersionMax="47" xr10:uidLastSave="{00000000-0000-0000-0000-000000000000}"/>
  <bookViews>
    <workbookView xWindow="28680" yWindow="-120" windowWidth="29040" windowHeight="15720" tabRatio="810" xr2:uid="{00000000-000D-0000-FFFF-FFFF00000000}"/>
  </bookViews>
  <sheets>
    <sheet name="general" sheetId="12" r:id="rId1"/>
    <sheet name="0.4" sheetId="13" r:id="rId2"/>
    <sheet name="0.5" sheetId="14" r:id="rId3"/>
    <sheet name="0.6" sheetId="15" r:id="rId4"/>
    <sheet name="0.7" sheetId="16" r:id="rId5"/>
    <sheet name="0.8" sheetId="17" r:id="rId6"/>
    <sheet name="0.9" sheetId="19" r:id="rId7"/>
    <sheet name="0.45" sheetId="22" r:id="rId8"/>
    <sheet name="0.55" sheetId="23" r:id="rId9"/>
    <sheet name="0.65" sheetId="24" r:id="rId10"/>
    <sheet name="0.75" sheetId="25" r:id="rId11"/>
    <sheet name="0.85" sheetId="26" r:id="rId12"/>
  </sheets>
  <definedNames>
    <definedName name="ExternalData_1" localSheetId="1" hidden="1">'0.4'!$A$1:$C$12</definedName>
    <definedName name="ExternalData_1" localSheetId="7" hidden="1">'0.45'!$A$1:$C$10</definedName>
    <definedName name="ExternalData_1" localSheetId="2" hidden="1">'0.5'!$A$1:$C$10</definedName>
    <definedName name="ExternalData_1" localSheetId="8" hidden="1">'0.55'!$A$1:$C$10</definedName>
    <definedName name="ExternalData_1" localSheetId="3" hidden="1">'0.6'!$A$1:$C$10</definedName>
    <definedName name="ExternalData_1" localSheetId="9" hidden="1">'0.65'!$A$1:$C$10</definedName>
    <definedName name="ExternalData_1" localSheetId="4" hidden="1">'0.7'!$A$1:$C$10</definedName>
    <definedName name="ExternalData_1" localSheetId="10" hidden="1">'0.75'!$A$1:$C$10</definedName>
    <definedName name="ExternalData_1" localSheetId="5" hidden="1">'0.8'!$A$1:$C$10</definedName>
    <definedName name="ExternalData_1" localSheetId="11" hidden="1">'0.85'!$A$1:$C$10</definedName>
    <definedName name="ExternalData_2" localSheetId="6" hidden="1">'0.9'!$A$1:$C$10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3" l="1"/>
  <c r="C3" i="12" s="1"/>
  <c r="C11" i="13"/>
  <c r="D3" i="13" s="1"/>
  <c r="D8" i="13" l="1"/>
  <c r="D10" i="13"/>
  <c r="D7" i="13"/>
  <c r="D9" i="13"/>
  <c r="D6" i="13"/>
  <c r="D5" i="13"/>
  <c r="D4" i="13"/>
  <c r="C11" i="26"/>
  <c r="C11" i="25"/>
  <c r="C11" i="24"/>
  <c r="C11" i="23"/>
  <c r="C11" i="22"/>
  <c r="C11" i="19"/>
  <c r="D9" i="19" s="1"/>
  <c r="M10" i="12" s="1"/>
  <c r="C11" i="17"/>
  <c r="D3" i="17" s="1"/>
  <c r="K4" i="12" s="1"/>
  <c r="C11" i="16"/>
  <c r="D9" i="16" s="1"/>
  <c r="I10" i="12" s="1"/>
  <c r="C11" i="14"/>
  <c r="D4" i="14" s="1"/>
  <c r="E5" i="12" s="1"/>
  <c r="C11" i="15"/>
  <c r="D3" i="15" s="1"/>
  <c r="G4" i="12" s="1"/>
  <c r="C4" i="12"/>
  <c r="D4" i="22" l="1"/>
  <c r="D5" i="12" s="1"/>
  <c r="D8" i="22"/>
  <c r="D9" i="12" s="1"/>
  <c r="D10" i="22"/>
  <c r="D11" i="12" s="1"/>
  <c r="D5" i="22"/>
  <c r="D7" i="22"/>
  <c r="D2" i="22"/>
  <c r="D3" i="12" s="1"/>
  <c r="D3" i="22"/>
  <c r="D4" i="12" s="1"/>
  <c r="D6" i="22"/>
  <c r="D9" i="22"/>
  <c r="D10" i="12" s="1"/>
  <c r="D4" i="23"/>
  <c r="F5" i="12" s="1"/>
  <c r="D10" i="23"/>
  <c r="F11" i="12" s="1"/>
  <c r="D5" i="23"/>
  <c r="D9" i="23"/>
  <c r="F10" i="12" s="1"/>
  <c r="D6" i="23"/>
  <c r="F7" i="12" s="1"/>
  <c r="D2" i="23"/>
  <c r="F3" i="12" s="1"/>
  <c r="D7" i="23"/>
  <c r="F8" i="12" s="1"/>
  <c r="D8" i="23"/>
  <c r="F9" i="12" s="1"/>
  <c r="D3" i="23"/>
  <c r="F4" i="12" s="1"/>
  <c r="D3" i="24"/>
  <c r="H4" i="12" s="1"/>
  <c r="D8" i="24"/>
  <c r="H9" i="12" s="1"/>
  <c r="D9" i="24"/>
  <c r="H10" i="12" s="1"/>
  <c r="D4" i="24"/>
  <c r="H5" i="12" s="1"/>
  <c r="D5" i="24"/>
  <c r="H6" i="12" s="1"/>
  <c r="D6" i="24"/>
  <c r="H7" i="12" s="1"/>
  <c r="D7" i="24"/>
  <c r="D2" i="24"/>
  <c r="H3" i="12" s="1"/>
  <c r="D10" i="24"/>
  <c r="H11" i="12" s="1"/>
  <c r="D5" i="25"/>
  <c r="J6" i="12" s="1"/>
  <c r="D6" i="25"/>
  <c r="J7" i="12" s="1"/>
  <c r="D7" i="25"/>
  <c r="J8" i="12" s="1"/>
  <c r="D8" i="25"/>
  <c r="J9" i="12" s="1"/>
  <c r="D9" i="25"/>
  <c r="J10" i="12" s="1"/>
  <c r="D2" i="25"/>
  <c r="J3" i="12" s="1"/>
  <c r="D10" i="25"/>
  <c r="J11" i="12" s="1"/>
  <c r="D3" i="25"/>
  <c r="D4" i="25"/>
  <c r="J5" i="12" s="1"/>
  <c r="D3" i="26"/>
  <c r="L4" i="12" s="1"/>
  <c r="D9" i="26"/>
  <c r="L10" i="12" s="1"/>
  <c r="D10" i="26"/>
  <c r="L11" i="12" s="1"/>
  <c r="D4" i="26"/>
  <c r="L5" i="12" s="1"/>
  <c r="D7" i="26"/>
  <c r="L8" i="12" s="1"/>
  <c r="D5" i="26"/>
  <c r="L6" i="12" s="1"/>
  <c r="D2" i="26"/>
  <c r="D6" i="26"/>
  <c r="L7" i="12" s="1"/>
  <c r="D8" i="26"/>
  <c r="L9" i="12"/>
  <c r="L3" i="12"/>
  <c r="D10" i="19"/>
  <c r="M11" i="12" s="1"/>
  <c r="D4" i="19"/>
  <c r="M5" i="12" s="1"/>
  <c r="D5" i="19"/>
  <c r="M6" i="12" s="1"/>
  <c r="D6" i="19"/>
  <c r="M7" i="12" s="1"/>
  <c r="D7" i="19"/>
  <c r="M8" i="12" s="1"/>
  <c r="D2" i="19"/>
  <c r="M3" i="12" s="1"/>
  <c r="D3" i="19"/>
  <c r="M4" i="12" s="1"/>
  <c r="D6" i="17"/>
  <c r="K7" i="12" s="1"/>
  <c r="F6" i="12"/>
  <c r="D8" i="19"/>
  <c r="M9" i="12" s="1"/>
  <c r="D4" i="17"/>
  <c r="K5" i="12" s="1"/>
  <c r="D7" i="17"/>
  <c r="K8" i="12" s="1"/>
  <c r="D8" i="17"/>
  <c r="K9" i="12" s="1"/>
  <c r="D9" i="17"/>
  <c r="K10" i="12" s="1"/>
  <c r="D5" i="17"/>
  <c r="K6" i="12" s="1"/>
  <c r="D10" i="17"/>
  <c r="K11" i="12" s="1"/>
  <c r="D2" i="17"/>
  <c r="K3" i="12" s="1"/>
  <c r="D2" i="16"/>
  <c r="I3" i="12" s="1"/>
  <c r="D3" i="16"/>
  <c r="I4" i="12" s="1"/>
  <c r="D5" i="16"/>
  <c r="I6" i="12" s="1"/>
  <c r="D6" i="16"/>
  <c r="I7" i="12" s="1"/>
  <c r="D10" i="16"/>
  <c r="I11" i="12" s="1"/>
  <c r="D4" i="16"/>
  <c r="I5" i="12" s="1"/>
  <c r="D7" i="16"/>
  <c r="I8" i="12" s="1"/>
  <c r="D8" i="16"/>
  <c r="I9" i="12" s="1"/>
  <c r="D4" i="15"/>
  <c r="G5" i="12" s="1"/>
  <c r="D5" i="15"/>
  <c r="G6" i="12" s="1"/>
  <c r="D6" i="15"/>
  <c r="G7" i="12" s="1"/>
  <c r="D7" i="15"/>
  <c r="G8" i="12" s="1"/>
  <c r="D8" i="15"/>
  <c r="G9" i="12" s="1"/>
  <c r="D9" i="15"/>
  <c r="G10" i="12" s="1"/>
  <c r="D2" i="15"/>
  <c r="G3" i="12" s="1"/>
  <c r="D10" i="15"/>
  <c r="G11" i="12" s="1"/>
  <c r="D5" i="14"/>
  <c r="E6" i="12" s="1"/>
  <c r="D7" i="14"/>
  <c r="E8" i="12" s="1"/>
  <c r="D8" i="14"/>
  <c r="E9" i="12" s="1"/>
  <c r="D6" i="14"/>
  <c r="E7" i="12" s="1"/>
  <c r="D9" i="14"/>
  <c r="E10" i="12" s="1"/>
  <c r="D2" i="14"/>
  <c r="E3" i="12" s="1"/>
  <c r="D10" i="14"/>
  <c r="E11" i="12" s="1"/>
  <c r="D3" i="14"/>
  <c r="E4" i="12" s="1"/>
  <c r="C5" i="12"/>
  <c r="C11" i="12"/>
  <c r="C6" i="12"/>
  <c r="C7" i="12"/>
  <c r="C8" i="12"/>
  <c r="C9" i="12"/>
  <c r="C10" i="12"/>
  <c r="J4" i="12"/>
  <c r="H8" i="12"/>
  <c r="D6" i="12"/>
  <c r="D7" i="12"/>
  <c r="D8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C71575-894A-462F-8A47-E91CB4A7FE4F}" keepAlive="1" name="Query - BERTSIMforOntologySelection_0 4" description="Connection to the 'BERTSIMforOntologySelection_0 4' query in the workbook." type="5" refreshedVersion="8" background="1" saveData="1">
    <dbPr connection="Provider=Microsoft.Mashup.OleDb.1;Data Source=$Workbook$;Location=&quot;BERTSIMforOntologySelection_0 4&quot;;Extended Properties=&quot;&quot;" command="SELECT * FROM [BERTSIMforOntologySelection_0 4]"/>
  </connection>
  <connection id="2" xr16:uid="{C05B9F69-63B6-45AA-ADF1-B04494A355F1}" keepAlive="1" name="Query - BERTSIMforOntologySelection_0 45" description="Connection to the 'BERTSIMforOntologySelection_0 45' query in the workbook." type="5" refreshedVersion="8" background="1" saveData="1">
    <dbPr connection="Provider=Microsoft.Mashup.OleDb.1;Data Source=$Workbook$;Location=&quot;BERTSIMforOntologySelection_0 45&quot;;Extended Properties=&quot;&quot;" command="SELECT * FROM [BERTSIMforOntologySelection_0 45]"/>
  </connection>
  <connection id="3" xr16:uid="{733FED54-B2DC-456E-BA75-3BCE3C46A198}" keepAlive="1" name="Query - BERTSIMforOntologySelection_0 5" description="Connection to the 'BERTSIMforOntologySelection_0 5' query in the workbook." type="5" refreshedVersion="8" background="1" saveData="1">
    <dbPr connection="Provider=Microsoft.Mashup.OleDb.1;Data Source=$Workbook$;Location=&quot;BERTSIMforOntologySelection_0 5&quot;;Extended Properties=&quot;&quot;" command="SELECT * FROM [BERTSIMforOntologySelection_0 5]"/>
  </connection>
  <connection id="4" xr16:uid="{1C691D86-BC92-4507-8A66-54BCC71A3EBD}" keepAlive="1" name="Query - BERTSIMforOntologySelection_0 55" description="Connection to the 'BERTSIMforOntologySelection_0 55' query in the workbook." type="5" refreshedVersion="8" background="1" saveData="1">
    <dbPr connection="Provider=Microsoft.Mashup.OleDb.1;Data Source=$Workbook$;Location=&quot;BERTSIMforOntologySelection_0 55&quot;;Extended Properties=&quot;&quot;" command="SELECT * FROM [BERTSIMforOntologySelection_0 55]"/>
  </connection>
  <connection id="5" xr16:uid="{C3B2D0D4-BBE8-4D5B-9225-95B9BE3A1AFF}" keepAlive="1" name="Query - BERTSIMforOntologySelection_0 6" description="Connection to the 'BERTSIMforOntologySelection_0 6' query in the workbook." type="5" refreshedVersion="8" background="1" saveData="1">
    <dbPr connection="Provider=Microsoft.Mashup.OleDb.1;Data Source=$Workbook$;Location=&quot;BERTSIMforOntologySelection_0 6&quot;;Extended Properties=&quot;&quot;" command="SELECT * FROM [BERTSIMforOntologySelection_0 6]"/>
  </connection>
  <connection id="6" xr16:uid="{114E36AA-3D43-4769-9929-73B485B22BC7}" keepAlive="1" name="Query - BERTSIMforOntologySelection_0 65" description="Connection to the 'BERTSIMforOntologySelection_0 65' query in the workbook." type="5" refreshedVersion="8" background="1" saveData="1">
    <dbPr connection="Provider=Microsoft.Mashup.OleDb.1;Data Source=$Workbook$;Location=&quot;BERTSIMforOntologySelection_0 65&quot;;Extended Properties=&quot;&quot;" command="SELECT * FROM [BERTSIMforOntologySelection_0 65]"/>
  </connection>
  <connection id="7" xr16:uid="{2EFB0B80-606E-4BC8-BC64-0CEF939BE999}" keepAlive="1" name="Query - BERTSIMforOntologySelection_0 7" description="Connection to the 'BERTSIMforOntologySelection_0 7' query in the workbook." type="5" refreshedVersion="8" background="1" saveData="1">
    <dbPr connection="Provider=Microsoft.Mashup.OleDb.1;Data Source=$Workbook$;Location=&quot;BERTSIMforOntologySelection_0 7&quot;;Extended Properties=&quot;&quot;" command="SELECT * FROM [BERTSIMforOntologySelection_0 7]"/>
  </connection>
  <connection id="8" xr16:uid="{5757C04B-C748-45CF-8276-1980AAC787F3}" keepAlive="1" name="Query - BERTSIMforOntologySelection_0 75" description="Connection to the 'BERTSIMforOntologySelection_0 75' query in the workbook." type="5" refreshedVersion="8" background="1" saveData="1">
    <dbPr connection="Provider=Microsoft.Mashup.OleDb.1;Data Source=$Workbook$;Location=&quot;BERTSIMforOntologySelection_0 75&quot;;Extended Properties=&quot;&quot;" command="SELECT * FROM [BERTSIMforOntologySelection_0 75]"/>
  </connection>
  <connection id="9" xr16:uid="{F4372B05-2382-4766-936D-07172AD33F1B}" keepAlive="1" name="Query - BERTSIMforOntologySelection_0 8" description="Connection to the 'BERTSIMforOntologySelection_0 8' query in the workbook." type="5" refreshedVersion="8" background="1" saveData="1">
    <dbPr connection="Provider=Microsoft.Mashup.OleDb.1;Data Source=$Workbook$;Location=&quot;BERTSIMforOntologySelection_0 8&quot;;Extended Properties=&quot;&quot;" command="SELECT * FROM [BERTSIMforOntologySelection_0 8]"/>
  </connection>
  <connection id="10" xr16:uid="{5D4A92C5-C888-4180-8C0F-81CC76213F61}" keepAlive="1" name="Query - BERTSIMforOntologySelection_0 8 (2)" description="Connection to the 'BERTSIMforOntologySelection_0 8 (2)' query in the workbook." type="5" refreshedVersion="0" background="1">
    <dbPr connection="Provider=Microsoft.Mashup.OleDb.1;Data Source=$Workbook$;Location=&quot;BERTSIMforOntologySelection_0 8 (2)&quot;;Extended Properties=&quot;&quot;" command="SELECT * FROM [BERTSIMforOntologySelection_0 8 (2)]"/>
  </connection>
  <connection id="11" xr16:uid="{F79635B3-9CE7-4E6B-A905-F7CD10F62F32}" keepAlive="1" name="Query - BERTSIMforOntologySelection_0 85" description="Connection to the 'BERTSIMforOntologySelection_0 85' query in the workbook." type="5" refreshedVersion="8" background="1" saveData="1">
    <dbPr connection="Provider=Microsoft.Mashup.OleDb.1;Data Source=$Workbook$;Location=&quot;BERTSIMforOntologySelection_0 85&quot;;Extended Properties=&quot;&quot;" command="SELECT * FROM [BERTSIMforOntologySelection_0 85]"/>
  </connection>
  <connection id="12" xr16:uid="{136BE1C1-EA4E-44DC-A2D6-4371B54C5048}" keepAlive="1" name="Query - BERTSIMforOntologySelection_0 9" description="Connection to the 'BERTSIMforOntologySelection_0 9' query in the workbook." type="5" refreshedVersion="8" background="1" saveData="1">
    <dbPr connection="Provider=Microsoft.Mashup.OleDb.1;Data Source=$Workbook$;Location=&quot;BERTSIMforOntologySelection_0 9&quot;;Extended Properties=&quot;&quot;" command="SELECT * FROM [BERTSIMforOntologySelection_0 9]"/>
  </connection>
</connections>
</file>

<file path=xl/sharedStrings.xml><?xml version="1.0" encoding="utf-8"?>
<sst xmlns="http://schemas.openxmlformats.org/spreadsheetml/2006/main" count="187" uniqueCount="27">
  <si>
    <t>Ontology</t>
  </si>
  <si>
    <t>BERT_Sim</t>
  </si>
  <si>
    <t>SAREF4BLDG</t>
  </si>
  <si>
    <t>SAREF4ENER</t>
  </si>
  <si>
    <t>SARGON</t>
  </si>
  <si>
    <t>SBEO</t>
  </si>
  <si>
    <t>EM-KPI</t>
  </si>
  <si>
    <t>FSO</t>
  </si>
  <si>
    <t>SSN</t>
  </si>
  <si>
    <t>Sim_Thershold</t>
    <phoneticPr fontId="1" type="noConversion"/>
  </si>
  <si>
    <t>Column1</t>
  </si>
  <si>
    <t>SAREF4GRID</t>
  </si>
  <si>
    <t>CIM</t>
  </si>
  <si>
    <t>Sum</t>
  </si>
  <si>
    <t>Sim_threshold</t>
  </si>
  <si>
    <t>Column2</t>
  </si>
  <si>
    <t>0.4</t>
  </si>
  <si>
    <t>0.45</t>
  </si>
  <si>
    <t>0.5</t>
  </si>
  <si>
    <t>0.55</t>
  </si>
  <si>
    <t>0.6</t>
  </si>
  <si>
    <t>0.65</t>
  </si>
  <si>
    <t>0.7</t>
  </si>
  <si>
    <t>0.75</t>
  </si>
  <si>
    <t>0.8</t>
  </si>
  <si>
    <t>0.85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</si>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</sst>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2" fillId="2" borderId="1" applyNumberFormat="0" applyAlignment="0" applyProtection="0">
      <alignment vertical="center"/>
    </xf>
    <xf numFmtId="0" fontId="3" fillId="3" borderId="2" applyNumberFormat="0" applyAlignment="0" applyProtection="0">
      <alignment vertical="center"/>
    </xf>
  </cellStyleXfs>
  <cellXfs count="7">
    <xf numFmtId="0" fontId="0" fillId="0" borderId="0" xfId="0"/>
    <xf numFmtId="0" fontId="4" fillId="0" borderId="0" xfId="0" applyFont="1"/>
    <xf numFmtId="0" fontId="2" fillId="2" borderId="1" xfId="1" applyAlignment="1">
      <alignment horizontal="center" vertical="center"/>
    </xf>
    <xf numFmtId="0" fontId="3" fillId="3" borderId="3" xfId="2" applyBorder="1" applyAlignment="1">
      <alignment horizontal="center"/>
    </xf>
    <xf numFmtId="0" fontId="3" fillId="3" borderId="4" xfId="2" applyBorder="1" applyAlignment="1">
      <alignment horizontal="center"/>
    </xf>
    <xf numFmtId="0" fontId="3" fillId="3" borderId="5" xfId="2" applyBorder="1" applyAlignment="1">
      <alignment horizontal="center"/>
    </xf>
    <xf numFmtId="0" fontId="0" fillId="0" borderId="0" xfId="0" applyNumberFormat="1"/>
  </cellXfs>
  <cellStyles count="3">
    <cellStyle name="Check Cell" xfId="2" builtinId="23"/>
    <cellStyle name="Normal" xfId="0" builtinId="0"/>
    <cellStyle name="Output" xfId="1" builtinId="2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rgb="FF3F3F3F"/>
        </top>
      </border>
    </dxf>
    <dxf>
      <border outline="0">
        <bottom style="thin">
          <color rgb="FF3F3F3F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Energy BERT results for Ontology selection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general!$I$1</c:f>
              <c:strCache>
                <c:ptCount val="1"/>
                <c:pt idx="0">
                  <c:v>0.7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general!$B$2:$B$11</c15:sqref>
                  </c15:fullRef>
                </c:ext>
              </c:extLst>
              <c:f>general!$B$3:$B$11</c:f>
              <c:strCache>
                <c:ptCount val="9"/>
                <c:pt idx="0">
                  <c:v>SAREF4BLDG</c:v>
                </c:pt>
                <c:pt idx="1">
                  <c:v>SAREF4ENER</c:v>
                </c:pt>
                <c:pt idx="2">
                  <c:v>SAREF4GRID</c:v>
                </c:pt>
                <c:pt idx="3">
                  <c:v>SARGON</c:v>
                </c:pt>
                <c:pt idx="4">
                  <c:v>SBEO</c:v>
                </c:pt>
                <c:pt idx="5">
                  <c:v>SSN</c:v>
                </c:pt>
                <c:pt idx="6">
                  <c:v>CIM</c:v>
                </c:pt>
                <c:pt idx="7">
                  <c:v>EM-KPI</c:v>
                </c:pt>
                <c:pt idx="8">
                  <c:v>FSO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general!$I$2:$I$11</c15:sqref>
                  </c15:fullRef>
                </c:ext>
              </c:extLst>
              <c:f>general!$I$3:$I$11</c:f>
              <c:numCache>
                <c:formatCode>General</c:formatCode>
                <c:ptCount val="9"/>
                <c:pt idx="0">
                  <c:v>0</c:v>
                </c:pt>
                <c:pt idx="1">
                  <c:v>3.7641527233504703E-2</c:v>
                </c:pt>
                <c:pt idx="2">
                  <c:v>5.0330348481332013E-2</c:v>
                </c:pt>
                <c:pt idx="3">
                  <c:v>5.7357245543175714E-2</c:v>
                </c:pt>
                <c:pt idx="4">
                  <c:v>0.20550146682406292</c:v>
                </c:pt>
                <c:pt idx="5">
                  <c:v>9.1251150000083478E-2</c:v>
                </c:pt>
                <c:pt idx="6">
                  <c:v>1.1555100657357579E-2</c:v>
                </c:pt>
                <c:pt idx="7">
                  <c:v>0.36465897384094181</c:v>
                </c:pt>
                <c:pt idx="8">
                  <c:v>0.18170418741954175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EEB-454C-BCBE-29CAE08C951C}"/>
            </c:ext>
          </c:extLst>
        </c:ser>
        <c:ser>
          <c:idx val="7"/>
          <c:order val="7"/>
          <c:tx>
            <c:strRef>
              <c:f>general!$J$1</c:f>
              <c:strCache>
                <c:ptCount val="1"/>
                <c:pt idx="0">
                  <c:v>0.75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general!$B$2:$B$11</c15:sqref>
                  </c15:fullRef>
                </c:ext>
              </c:extLst>
              <c:f>general!$B$3:$B$11</c:f>
              <c:strCache>
                <c:ptCount val="9"/>
                <c:pt idx="0">
                  <c:v>SAREF4BLDG</c:v>
                </c:pt>
                <c:pt idx="1">
                  <c:v>SAREF4ENER</c:v>
                </c:pt>
                <c:pt idx="2">
                  <c:v>SAREF4GRID</c:v>
                </c:pt>
                <c:pt idx="3">
                  <c:v>SARGON</c:v>
                </c:pt>
                <c:pt idx="4">
                  <c:v>SBEO</c:v>
                </c:pt>
                <c:pt idx="5">
                  <c:v>SSN</c:v>
                </c:pt>
                <c:pt idx="6">
                  <c:v>CIM</c:v>
                </c:pt>
                <c:pt idx="7">
                  <c:v>EM-KPI</c:v>
                </c:pt>
                <c:pt idx="8">
                  <c:v>FSO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general!$J$2:$J$11</c15:sqref>
                  </c15:fullRef>
                </c:ext>
              </c:extLst>
              <c:f>general!$J$3:$J$11</c:f>
              <c:numCache>
                <c:formatCode>General</c:formatCode>
                <c:ptCount val="9"/>
                <c:pt idx="0">
                  <c:v>0</c:v>
                </c:pt>
                <c:pt idx="1">
                  <c:v>3.0624749963285749E-2</c:v>
                </c:pt>
                <c:pt idx="2">
                  <c:v>5.3471142598153651E-2</c:v>
                </c:pt>
                <c:pt idx="3">
                  <c:v>3.7866319611487259E-2</c:v>
                </c:pt>
                <c:pt idx="4">
                  <c:v>0.22901590613305242</c:v>
                </c:pt>
                <c:pt idx="5">
                  <c:v>9.11982012548678E-2</c:v>
                </c:pt>
                <c:pt idx="6">
                  <c:v>5.8337679963133826E-3</c:v>
                </c:pt>
                <c:pt idx="7">
                  <c:v>0.32802284892465228</c:v>
                </c:pt>
                <c:pt idx="8">
                  <c:v>0.22396706351818746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EEB-454C-BCBE-29CAE08C951C}"/>
            </c:ext>
          </c:extLst>
        </c:ser>
        <c:ser>
          <c:idx val="8"/>
          <c:order val="8"/>
          <c:tx>
            <c:strRef>
              <c:f>general!$K$1</c:f>
              <c:strCache>
                <c:ptCount val="1"/>
                <c:pt idx="0">
                  <c:v>0.8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general!$B$2:$B$11</c15:sqref>
                  </c15:fullRef>
                </c:ext>
              </c:extLst>
              <c:f>general!$B$3:$B$11</c:f>
              <c:strCache>
                <c:ptCount val="9"/>
                <c:pt idx="0">
                  <c:v>SAREF4BLDG</c:v>
                </c:pt>
                <c:pt idx="1">
                  <c:v>SAREF4ENER</c:v>
                </c:pt>
                <c:pt idx="2">
                  <c:v>SAREF4GRID</c:v>
                </c:pt>
                <c:pt idx="3">
                  <c:v>SARGON</c:v>
                </c:pt>
                <c:pt idx="4">
                  <c:v>SBEO</c:v>
                </c:pt>
                <c:pt idx="5">
                  <c:v>SSN</c:v>
                </c:pt>
                <c:pt idx="6">
                  <c:v>CIM</c:v>
                </c:pt>
                <c:pt idx="7">
                  <c:v>EM-KPI</c:v>
                </c:pt>
                <c:pt idx="8">
                  <c:v>FSO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general!$K$2:$K$11</c15:sqref>
                  </c15:fullRef>
                </c:ext>
              </c:extLst>
              <c:f>general!$K$3:$K$11</c:f>
              <c:numCache>
                <c:formatCode>General</c:formatCode>
                <c:ptCount val="9"/>
                <c:pt idx="0">
                  <c:v>0</c:v>
                </c:pt>
                <c:pt idx="1">
                  <c:v>5.1856331941005626E-2</c:v>
                </c:pt>
                <c:pt idx="2">
                  <c:v>6.5080295097872443E-2</c:v>
                </c:pt>
                <c:pt idx="3">
                  <c:v>4.0768111285414577E-2</c:v>
                </c:pt>
                <c:pt idx="4">
                  <c:v>0.22916076029912996</c:v>
                </c:pt>
                <c:pt idx="5">
                  <c:v>0.10608781114744183</c:v>
                </c:pt>
                <c:pt idx="6">
                  <c:v>0</c:v>
                </c:pt>
                <c:pt idx="7">
                  <c:v>0.29089568882420763</c:v>
                </c:pt>
                <c:pt idx="8">
                  <c:v>0.21615100140492793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EEB-454C-BCBE-29CAE08C9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7860911"/>
        <c:axId val="19878613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general!$C$1</c15:sqref>
                        </c15:formulaRef>
                      </c:ext>
                    </c:extLst>
                    <c:strCache>
                      <c:ptCount val="1"/>
                      <c:pt idx="0">
                        <c:v>0.4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general!$C$2:$C$11</c15:sqref>
                        </c15:fullRef>
                        <c15:formulaRef>
                          <c15:sqref>general!$C$3:$C$11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3.1423361272983501E-2</c:v>
                      </c:pt>
                      <c:pt idx="1">
                        <c:v>3.3239788522406964E-2</c:v>
                      </c:pt>
                      <c:pt idx="2">
                        <c:v>2.900865829958128E-2</c:v>
                      </c:pt>
                      <c:pt idx="3">
                        <c:v>2.6629973660193752E-2</c:v>
                      </c:pt>
                      <c:pt idx="4">
                        <c:v>7.5835387092913292E-2</c:v>
                      </c:pt>
                      <c:pt idx="5">
                        <c:v>8.6034692455174852E-2</c:v>
                      </c:pt>
                      <c:pt idx="6">
                        <c:v>6.2725969647549271E-3</c:v>
                      </c:pt>
                      <c:pt idx="7">
                        <c:v>0.64910324588542412</c:v>
                      </c:pt>
                      <c:pt idx="8">
                        <c:v>6.2452295846567245E-2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EEB-454C-BCBE-29CAE08C951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general!$D$1</c15:sqref>
                        </c15:formulaRef>
                      </c:ext>
                    </c:extLst>
                    <c:strCache>
                      <c:ptCount val="1"/>
                      <c:pt idx="0">
                        <c:v>0.45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general!$D$2:$D$11</c15:sqref>
                        </c15:fullRef>
                        <c15:formulaRef>
                          <c15:sqref>general!$D$3:$D$11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2.698106872580823E-2</c:v>
                      </c:pt>
                      <c:pt idx="1">
                        <c:v>3.7031091576104215E-2</c:v>
                      </c:pt>
                      <c:pt idx="2">
                        <c:v>3.0134996826281776E-2</c:v>
                      </c:pt>
                      <c:pt idx="3">
                        <c:v>2.8810993343084016E-2</c:v>
                      </c:pt>
                      <c:pt idx="4">
                        <c:v>8.624437979972055E-2</c:v>
                      </c:pt>
                      <c:pt idx="5">
                        <c:v>9.3797859726848079E-2</c:v>
                      </c:pt>
                      <c:pt idx="6">
                        <c:v>7.3852468930097987E-3</c:v>
                      </c:pt>
                      <c:pt idx="7">
                        <c:v>0.61961445102753698</c:v>
                      </c:pt>
                      <c:pt idx="8">
                        <c:v>6.9999912081606469E-2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EEB-454C-BCBE-29CAE08C951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general!$E$1</c15:sqref>
                        </c15:formulaRef>
                      </c:ext>
                    </c:extLst>
                    <c:strCache>
                      <c:ptCount val="1"/>
                      <c:pt idx="0">
                        <c:v>0.5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general!$E$2:$E$11</c15:sqref>
                        </c15:fullRef>
                        <c15:formulaRef>
                          <c15:sqref>general!$E$3:$E$11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3.4143942319684581E-2</c:v>
                      </c:pt>
                      <c:pt idx="1">
                        <c:v>4.2519066780714009E-2</c:v>
                      </c:pt>
                      <c:pt idx="2">
                        <c:v>2.9302448249324996E-2</c:v>
                      </c:pt>
                      <c:pt idx="3">
                        <c:v>3.2194609363081203E-2</c:v>
                      </c:pt>
                      <c:pt idx="4">
                        <c:v>0.10041406747767695</c:v>
                      </c:pt>
                      <c:pt idx="5">
                        <c:v>0.1023884666457609</c:v>
                      </c:pt>
                      <c:pt idx="6">
                        <c:v>9.3762209784532154E-3</c:v>
                      </c:pt>
                      <c:pt idx="7">
                        <c:v>0.56743516316363618</c:v>
                      </c:pt>
                      <c:pt idx="8">
                        <c:v>8.2226015021667931E-2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EEB-454C-BCBE-29CAE08C951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general!$F$1</c15:sqref>
                        </c15:formulaRef>
                      </c:ext>
                    </c:extLst>
                    <c:strCache>
                      <c:ptCount val="1"/>
                      <c:pt idx="0">
                        <c:v>0.55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general!$F$2:$F$11</c15:sqref>
                        </c15:fullRef>
                        <c15:formulaRef>
                          <c15:sqref>general!$F$3:$F$11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2.8219376164583497E-2</c:v>
                      </c:pt>
                      <c:pt idx="1">
                        <c:v>4.8703596923006083E-2</c:v>
                      </c:pt>
                      <c:pt idx="2">
                        <c:v>2.8475624841438164E-2</c:v>
                      </c:pt>
                      <c:pt idx="3">
                        <c:v>3.6838540760900339E-2</c:v>
                      </c:pt>
                      <c:pt idx="4">
                        <c:v>0.11974867381748211</c:v>
                      </c:pt>
                      <c:pt idx="5">
                        <c:v>0.10580378130656529</c:v>
                      </c:pt>
                      <c:pt idx="6">
                        <c:v>1.3142174970076201E-2</c:v>
                      </c:pt>
                      <c:pt idx="7">
                        <c:v>0.51759720482713412</c:v>
                      </c:pt>
                      <c:pt idx="8">
                        <c:v>0.10147102638881421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EEB-454C-BCBE-29CAE08C951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general!$G$1</c15:sqref>
                        </c15:formulaRef>
                      </c:ext>
                    </c:extLst>
                    <c:strCache>
                      <c:ptCount val="1"/>
                      <c:pt idx="0">
                        <c:v>0.6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general!$G$2:$G$11</c15:sqref>
                        </c15:fullRef>
                        <c15:formulaRef>
                          <c15:sqref>general!$G$3:$G$11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7.5462472206245385E-3</c:v>
                      </c:pt>
                      <c:pt idx="1">
                        <c:v>5.0639632594337326E-2</c:v>
                      </c:pt>
                      <c:pt idx="2">
                        <c:v>2.651153423714455E-2</c:v>
                      </c:pt>
                      <c:pt idx="3">
                        <c:v>4.3671697954193595E-2</c:v>
                      </c:pt>
                      <c:pt idx="4">
                        <c:v>0.1461557468153816</c:v>
                      </c:pt>
                      <c:pt idx="5">
                        <c:v>0.10517394799646911</c:v>
                      </c:pt>
                      <c:pt idx="6">
                        <c:v>1.7781572692810537E-2</c:v>
                      </c:pt>
                      <c:pt idx="7">
                        <c:v>0.47959283072994624</c:v>
                      </c:pt>
                      <c:pt idx="8">
                        <c:v>0.12292678975909252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8EEB-454C-BCBE-29CAE08C951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general!$H$1</c15:sqref>
                        </c15:formulaRef>
                      </c:ext>
                    </c:extLst>
                    <c:strCache>
                      <c:ptCount val="1"/>
                      <c:pt idx="0">
                        <c:v>0.65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general!$H$2:$H$11</c15:sqref>
                        </c15:fullRef>
                        <c15:formulaRef>
                          <c15:sqref>general!$H$3:$H$11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8.0356720815541948E-4</c:v>
                      </c:pt>
                      <c:pt idx="1">
                        <c:v>4.3795927865601873E-2</c:v>
                      </c:pt>
                      <c:pt idx="2">
                        <c:v>3.2080269455598366E-2</c:v>
                      </c:pt>
                      <c:pt idx="3">
                        <c:v>5.5481891861427685E-2</c:v>
                      </c:pt>
                      <c:pt idx="4">
                        <c:v>0.17229426316038257</c:v>
                      </c:pt>
                      <c:pt idx="5">
                        <c:v>0.10715047553483277</c:v>
                      </c:pt>
                      <c:pt idx="6">
                        <c:v>1.842477798880339E-2</c:v>
                      </c:pt>
                      <c:pt idx="7">
                        <c:v>0.42533672859669053</c:v>
                      </c:pt>
                      <c:pt idx="8">
                        <c:v>0.14463209832850751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EEB-454C-BCBE-29CAE08C951C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general!$L$1</c15:sqref>
                        </c15:formulaRef>
                      </c:ext>
                    </c:extLst>
                    <c:strCache>
                      <c:ptCount val="1"/>
                      <c:pt idx="0">
                        <c:v>0.85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general!$L$2:$L$11</c15:sqref>
                        </c15:fullRef>
                        <c15:formulaRef>
                          <c15:sqref>general!$L$3:$L$11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8.266131940737749E-2</c:v>
                      </c:pt>
                      <c:pt idx="2">
                        <c:v>5.4040017888313446E-2</c:v>
                      </c:pt>
                      <c:pt idx="3">
                        <c:v>5.7704236933596845E-2</c:v>
                      </c:pt>
                      <c:pt idx="4">
                        <c:v>0.32373519525671168</c:v>
                      </c:pt>
                      <c:pt idx="5">
                        <c:v>5.398231365137985E-2</c:v>
                      </c:pt>
                      <c:pt idx="6">
                        <c:v>0</c:v>
                      </c:pt>
                      <c:pt idx="7">
                        <c:v>0.25251374082141981</c:v>
                      </c:pt>
                      <c:pt idx="8">
                        <c:v>0.17536317604120083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EEB-454C-BCBE-29CAE08C951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general!$M$1</c15:sqref>
                        </c15:formulaRef>
                      </c:ext>
                    </c:extLst>
                    <c:strCache>
                      <c:ptCount val="1"/>
                      <c:pt idx="0">
                        <c:v>0.9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general!$B$2:$B$11</c15:sqref>
                        </c15:fullRef>
                        <c15:formulaRef>
                          <c15:sqref>general!$B$3:$B$11</c15:sqref>
                        </c15:formulaRef>
                      </c:ext>
                    </c:extLst>
                    <c:strCache>
                      <c:ptCount val="9"/>
                      <c:pt idx="0">
                        <c:v>SAREF4BLDG</c:v>
                      </c:pt>
                      <c:pt idx="1">
                        <c:v>SAREF4ENER</c:v>
                      </c:pt>
                      <c:pt idx="2">
                        <c:v>SAREF4GRID</c:v>
                      </c:pt>
                      <c:pt idx="3">
                        <c:v>SARGON</c:v>
                      </c:pt>
                      <c:pt idx="4">
                        <c:v>SBEO</c:v>
                      </c:pt>
                      <c:pt idx="5">
                        <c:v>SSN</c:v>
                      </c:pt>
                      <c:pt idx="6">
                        <c:v>CIM</c:v>
                      </c:pt>
                      <c:pt idx="7">
                        <c:v>EM-KPI</c:v>
                      </c:pt>
                      <c:pt idx="8">
                        <c:v>FSO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general!$M$2:$M$11</c15:sqref>
                        </c15:fullRef>
                        <c15:formulaRef>
                          <c15:sqref>general!$M$3:$M$11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8.7284788443494007E-2</c:v>
                      </c:pt>
                      <c:pt idx="2">
                        <c:v>4.3642394221747004E-2</c:v>
                      </c:pt>
                      <c:pt idx="3">
                        <c:v>8.7284788443494007E-2</c:v>
                      </c:pt>
                      <c:pt idx="4">
                        <c:v>0.41261701616950708</c:v>
                      </c:pt>
                      <c:pt idx="5">
                        <c:v>4.3642394221747004E-2</c:v>
                      </c:pt>
                      <c:pt idx="6">
                        <c:v>0</c:v>
                      </c:pt>
                      <c:pt idx="7">
                        <c:v>0.17456957688698801</c:v>
                      </c:pt>
                      <c:pt idx="8">
                        <c:v>0.1509590416130229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8EEB-454C-BCBE-29CAE08C951C}"/>
                  </c:ext>
                </c:extLst>
              </c15:ser>
            </c15:filteredBarSeries>
          </c:ext>
        </c:extLst>
      </c:barChart>
      <c:catAx>
        <c:axId val="198786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61391"/>
        <c:crosses val="autoZero"/>
        <c:auto val="1"/>
        <c:lblAlgn val="ctr"/>
        <c:lblOffset val="100"/>
        <c:noMultiLvlLbl val="0"/>
      </c:catAx>
      <c:valAx>
        <c:axId val="198786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86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102577</xdr:colOff>
      <xdr:row>11</xdr:row>
      <xdr:rowOff>145072</xdr:rowOff>
    </xdr:from>
    <xdr:to>
      <xdr:col>9</xdr:col>
      <xdr:colOff>498231</xdr:colOff>
      <xdr:row>26</xdr:row>
      <xdr:rowOff>30772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204BB6-70AD-F0BF-1D24-ACE8AD9AF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D236A6-33EB-4914-A660-6F3F0D7547F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C12909E-AFBE-4050-B082-AB50109830E3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6588D8A1-CC31-4BB3-83C9-2203FE0969D0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9A4A0881-09E1-4B40-8524-B9D10C60294C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4D46B7CE-D97A-4B4B-81D1-14297D42868D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F008E0C9-F3C6-4A73-B383-1C7BDAF7F53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4CE6280-706C-48A3-8CDD-045028A3C745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A4968D7-B406-41EF-B0D4-032729E9E7EA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A87912DA-7F64-4A91-86CF-70A1813EB0DE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E641DBF6-9FA7-4CA0-80D8-51A1C0362599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B47C1D0-41AA-44C5-BD80-11F4C49E1C8F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Ontology" tableColumnId="2"/>
      <queryTableField id="3" name="BERT_Sim" tableColumnId="3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D910FA6-D6B5-4827-BC59-A4D2E7C3C110}" name="Table15" displayName="Table15" ref="B1:M11" totalsRowShown="0" headerRowDxfId="15" headerRowBorderDxfId="14" tableBorderDxfId="13" headerRowCellStyle="Output">
  <autoFilter ref="B1:M11" xr:uid="{8D910FA6-D6B5-4827-BC59-A4D2E7C3C110}"/>
  <tableColumns count="12">
    <tableColumn id="1" xr3:uid="{253CE5C0-B8E2-4509-A417-950EBF3865B7}" name="Ontology"/>
    <tableColumn id="2" xr3:uid="{9272AEF0-AF66-4B06-8AC1-D8DFAEE40F76}" name="0.4"/>
    <tableColumn id="3" xr3:uid="{9F86F681-0BC8-4438-B7A9-7B66BF877DF4}" name="0.45"/>
    <tableColumn id="4" xr3:uid="{896BEE4A-9C9B-4B95-955B-2B6CBACC018A}" name="0.5"/>
    <tableColumn id="5" xr3:uid="{338C06D8-1EF7-47EB-97F4-CA94BAFD012F}" name="0.55"/>
    <tableColumn id="6" xr3:uid="{9441EA5C-274D-4C08-9A98-732E78476F4F}" name="0.6"/>
    <tableColumn id="7" xr3:uid="{B41CE924-4FAA-4D6D-8685-7476B0F7253E}" name="0.65"/>
    <tableColumn id="8" xr3:uid="{DDEAE054-5C94-4846-AAD4-49AF650876ED}" name="0.7"/>
    <tableColumn id="9" xr3:uid="{1E05B927-6E11-4617-8C78-06045E8F3D33}" name="0.75"/>
    <tableColumn id="10" xr3:uid="{48BC2BDF-1794-45DF-87B5-6FD91B1698A2}" name="0.8"/>
    <tableColumn id="11" xr3:uid="{7B635766-3A90-44C5-83C3-EBC28C581889}" name="0.85"/>
    <tableColumn id="12" xr3:uid="{52304D56-CB92-457C-80D5-5278C0A69AC5}" name="0.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77C2D-658E-48B2-8536-DB0BBAD9C720}" name="BERTSIMforOntologySelection_0_4" displayName="BERTSIMforOntologySelection_0_4" ref="A1:D12" tableType="queryTable" totalsRowShown="0">
  <autoFilter ref="A1:D12" xr:uid="{CC777C2D-658E-48B2-8536-DB0BBAD9C720}"/>
  <tableColumns count="4">
    <tableColumn id="1" xr3:uid="{84B9F296-1D91-4A5C-9A15-CFCC8AADC898}" uniqueName="1" name="Column1" queryTableFieldId="1"/>
    <tableColumn id="2" xr3:uid="{78D55B39-391E-48B5-8631-22EE51474092}" uniqueName="2" name="Ontology" queryTableFieldId="2" dataDxfId="12"/>
    <tableColumn id="3" xr3:uid="{7CE2937D-4838-4E85-A084-DD85332F497B}" uniqueName="3" name="BERT_Sim" queryTableFieldId="3"/>
    <tableColumn id="4" xr3:uid="{822B2DA1-9518-4866-8FD4-2A75F56CFD6A}" uniqueName="4" name="Column2" queryTableFieldId="4" dataDxfId="11">
      <calculatedColumnFormula>C2/C3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95BCB3-F982-46DD-8E7A-922B300AB823}" name="BERTSIMforOntologySelection_0_5" displayName="BERTSIMforOntologySelection_0_5" ref="A1:D10" tableType="queryTable" totalsRowShown="0">
  <autoFilter ref="A1:D10" xr:uid="{EF95BCB3-F982-46DD-8E7A-922B300AB823}"/>
  <tableColumns count="4">
    <tableColumn id="1" xr3:uid="{88191DF1-0511-4F3C-8117-67D1FA0C7B38}" uniqueName="1" name="Column1" queryTableFieldId="1"/>
    <tableColumn id="2" xr3:uid="{B440F178-C131-4C73-A54E-F0406AA80118}" uniqueName="2" name="Ontology" queryTableFieldId="2" dataDxfId="10"/>
    <tableColumn id="3" xr3:uid="{CA32E24B-866C-4707-8684-21D2BD2B1D6A}" uniqueName="3" name="BERT_Sim" queryTableFieldId="3"/>
    <tableColumn id="4" xr3:uid="{B40DB0D2-F5AF-4BC6-B202-DA60BAE41E9D}" uniqueName="4" name="Column2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D9A1123-C6C1-4921-97DB-9F13A4B377F9}" name="BERTSIMforOntologySelection_0_6" displayName="BERTSIMforOntologySelection_0_6" ref="A1:D10" tableType="queryTable" totalsRowShown="0">
  <autoFilter ref="A1:D10" xr:uid="{3D9A1123-C6C1-4921-97DB-9F13A4B377F9}"/>
  <tableColumns count="4">
    <tableColumn id="1" xr3:uid="{9DF4E3E7-EB50-4CD5-A93D-5C829DDAC54B}" uniqueName="1" name="Column1" queryTableFieldId="1"/>
    <tableColumn id="2" xr3:uid="{DF6084CA-6C95-4B6F-B996-29BAB85B88F6}" uniqueName="2" name="Ontology" queryTableFieldId="2" dataDxfId="9"/>
    <tableColumn id="3" xr3:uid="{1AA1BBFD-5921-4A59-824C-E490F3F39C0C}" uniqueName="3" name="BERT_Sim" queryTableFieldId="3"/>
    <tableColumn id="4" xr3:uid="{E968079B-609F-4790-AE23-80C06D370FC2}" uniqueName="4" name="Column2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B67ADD-E480-4900-888C-1BCA2A4CAF81}" name="BERTSIMforOntologySelection_0_7" displayName="BERTSIMforOntologySelection_0_7" ref="A1:D10" tableType="queryTable" totalsRowShown="0">
  <autoFilter ref="A1:D10" xr:uid="{EDB67ADD-E480-4900-888C-1BCA2A4CAF81}"/>
  <tableColumns count="4">
    <tableColumn id="1" xr3:uid="{A8AEF423-E1F1-4085-9307-3FD81E2D0120}" uniqueName="1" name="Column1" queryTableFieldId="1"/>
    <tableColumn id="2" xr3:uid="{99566CC8-2423-4819-A0CE-84F1F6B7BE14}" uniqueName="2" name="Ontology" queryTableFieldId="2" dataDxfId="8"/>
    <tableColumn id="3" xr3:uid="{37616839-D350-45C3-85C3-59D685838EAC}" uniqueName="3" name="BERT_Sim" queryTableFieldId="3"/>
    <tableColumn id="4" xr3:uid="{1BF6DDC6-AC21-4225-BAC9-A58ED25A3461}" uniqueName="4" name="Column2" queryTableFieldId="4" dataDxf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E8FB69-1707-4A0D-91F2-C9C1BAB911F3}" name="BERTSIMforOntologySelection_0_8" displayName="BERTSIMforOntologySelection_0_8" ref="A1:D10" tableType="queryTable" totalsRowShown="0">
  <autoFilter ref="A1:D10" xr:uid="{36E8FB69-1707-4A0D-91F2-C9C1BAB911F3}"/>
  <tableColumns count="4">
    <tableColumn id="1" xr3:uid="{2B197F25-698C-491B-9F21-68B8D9417403}" uniqueName="1" name="Column1" queryTableFieldId="1"/>
    <tableColumn id="2" xr3:uid="{D4312F0C-E6E2-47BC-B50D-94DE8C2B9282}" uniqueName="2" name="Ontology" queryTableFieldId="2" dataDxfId="6"/>
    <tableColumn id="3" xr3:uid="{8B8E993E-3AE1-4285-99EE-CEA5CFCCB766}" uniqueName="3" name="BERT_Sim" queryTableFieldId="3"/>
    <tableColumn id="4" xr3:uid="{50F445FF-ADAD-4017-BB32-BBB2B9270219}" uniqueName="4" name="Column2" queryTableField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5A06882-2E03-40F1-BD60-7DD6A5F8C80F}" name="BERTSIMforOntologySelection_0_9" displayName="BERTSIMforOntologySelection_0_9" ref="A1:D10" tableType="queryTable" totalsRowShown="0">
  <autoFilter ref="A1:D10" xr:uid="{15A06882-2E03-40F1-BD60-7DD6A5F8C80F}"/>
  <tableColumns count="4">
    <tableColumn id="1" xr3:uid="{D4820856-DD35-4117-B94D-137068F2B3C8}" uniqueName="1" name="Column1" queryTableFieldId="1"/>
    <tableColumn id="2" xr3:uid="{866D9F3C-FF40-46CB-9551-1B7438B8C95A}" uniqueName="2" name="Ontology" queryTableFieldId="2" dataDxfId="5"/>
    <tableColumn id="3" xr3:uid="{D0FFB9C3-E7F0-4DA4-9632-BFE02937971B}" uniqueName="3" name="BERT_Sim" queryTableFieldId="3"/>
    <tableColumn id="4" xr3:uid="{850D1E22-9793-4782-8746-7FF462CC48AD}" uniqueName="4" name="Column2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AC1CB4B-CC71-43A0-A8A7-9E1353FC9B18}" name="BERTSIMforOntologySelection_0_45" displayName="BERTSIMforOntologySelection_0_45" ref="A1:D10" tableType="queryTable" totalsRowShown="0">
  <autoFilter ref="A1:D10" xr:uid="{1AC1CB4B-CC71-43A0-A8A7-9E1353FC9B18}"/>
  <tableColumns count="4">
    <tableColumn id="1" xr3:uid="{1619E2FD-89F1-434E-9BCE-59109184BE0F}" uniqueName="1" name="Column1" queryTableFieldId="1"/>
    <tableColumn id="2" xr3:uid="{D4AC4520-0B75-467F-9304-BD190A0DB617}" uniqueName="2" name="Ontology" queryTableFieldId="2" dataDxfId="4"/>
    <tableColumn id="3" xr3:uid="{AACAB5AC-743F-4664-B30B-14654798D266}" uniqueName="3" name="BERT_Sim" queryTableFieldId="3"/>
    <tableColumn id="4" xr3:uid="{79FFBFC1-6BAB-4EE2-A63F-B8715D137E23}" uniqueName="4" name="Column2" queryTableFieldId="4">
      <calculatedColumnFormula>C2/C11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48E399-18C2-48A0-967E-C3BF96E7971C}" name="BERTSIMforOntologySelection_0_55" displayName="BERTSIMforOntologySelection_0_55" ref="A1:D10" tableType="queryTable" totalsRowShown="0">
  <autoFilter ref="A1:D10" xr:uid="{FB48E399-18C2-48A0-967E-C3BF96E7971C}"/>
  <tableColumns count="4">
    <tableColumn id="1" xr3:uid="{18B3E621-8577-431C-80FC-C6985B26FB69}" uniqueName="1" name="Column1" queryTableFieldId="1"/>
    <tableColumn id="2" xr3:uid="{4EACC7F9-1B73-41DC-A28D-3C73A0D407AF}" uniqueName="2" name="Ontology" queryTableFieldId="2" dataDxfId="3"/>
    <tableColumn id="3" xr3:uid="{201AC142-36C0-472F-8A7D-CFB9A4055EBB}" uniqueName="3" name="BERT_Sim" queryTableFieldId="3"/>
    <tableColumn id="4" xr3:uid="{DAAE35A2-D4E7-4A33-B403-E172FA829DE8}" uniqueName="4" name="Column2" queryTableFieldId="4">
      <calculatedColumnFormula>C2/C11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D88B4C5-084E-4A7E-9281-ABFE4AA7B0E3}" name="BERTSIMforOntologySelection_0_65" displayName="BERTSIMforOntologySelection_0_65" ref="A1:D10" tableType="queryTable" totalsRowShown="0">
  <autoFilter ref="A1:D10" xr:uid="{3D88B4C5-084E-4A7E-9281-ABFE4AA7B0E3}"/>
  <tableColumns count="4">
    <tableColumn id="1" xr3:uid="{6D345FB2-3BAE-4C88-8671-E95E1D30EAC3}" uniqueName="1" name="Column1" queryTableFieldId="1"/>
    <tableColumn id="2" xr3:uid="{C3AD6E43-EA5A-4E7D-95C5-78ED382FF66D}" uniqueName="2" name="Ontology" queryTableFieldId="2" dataDxfId="2"/>
    <tableColumn id="3" xr3:uid="{E125CD5E-6A62-4B75-8869-F82859A1A9FF}" uniqueName="3" name="BERT_Sim" queryTableFieldId="3"/>
    <tableColumn id="4" xr3:uid="{CCF4A63D-4C5D-4E62-9748-940C7F601860}" uniqueName="4" name="Column2" queryTableFieldId="4">
      <calculatedColumnFormula>C2/C11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451DD97-A021-44E8-9B68-8042AEC46ACB}" name="BERTSIMforOntologySelection_0_75" displayName="BERTSIMforOntologySelection_0_75" ref="A1:D10" tableType="queryTable" totalsRowShown="0">
  <autoFilter ref="A1:D10" xr:uid="{E451DD97-A021-44E8-9B68-8042AEC46ACB}"/>
  <tableColumns count="4">
    <tableColumn id="1" xr3:uid="{AA5AEEC6-D3CB-4C7F-BA8C-E182B0C17D07}" uniqueName="1" name="Column1" queryTableFieldId="1"/>
    <tableColumn id="2" xr3:uid="{B190DD5D-A642-42C6-87DD-92B4BAE931E3}" uniqueName="2" name="Ontology" queryTableFieldId="2" dataDxfId="1"/>
    <tableColumn id="3" xr3:uid="{54D80B0D-F61E-4BDF-86C4-DBF3A1DE7D8A}" uniqueName="3" name="BERT_Sim" queryTableFieldId="3"/>
    <tableColumn id="4" xr3:uid="{31EEB3A5-00EA-40BF-87B7-68F23D914421}" uniqueName="4" name="Column2" queryTableFieldId="4">
      <calculatedColumnFormula>C2/C11</calculatedColumnFormula>
    </tableColumn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953D3E4-2256-4063-8530-9B4491DB6A41}" name="BERTSIMforOntologySelection_0_85" displayName="BERTSIMforOntologySelection_0_85" ref="A1:D10" tableType="queryTable" totalsRowShown="0">
  <autoFilter ref="A1:D10" xr:uid="{9953D3E4-2256-4063-8530-9B4491DB6A41}"/>
  <tableColumns count="4">
    <tableColumn id="1" xr3:uid="{3744EF7C-2253-40B7-AB54-D18502B8B301}" uniqueName="1" name="Column1" queryTableFieldId="1"/>
    <tableColumn id="2" xr3:uid="{DD37D7F6-CF07-4C14-A6B7-C16AF8FB6579}" uniqueName="2" name="Ontology" queryTableFieldId="2" dataDxfId="0"/>
    <tableColumn id="3" xr3:uid="{2AC72B33-A506-4ABE-9D7F-F94545849535}" uniqueName="3" name="BERT_Sim" queryTableFieldId="3"/>
    <tableColumn id="4" xr3:uid="{14941D32-53D9-4697-95A6-3FEDEFB33C21}" uniqueName="4" name="Column2" queryTableFieldId="4">
      <calculatedColumnFormula>C2/C11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346D-B51A-4C91-93D7-F82BFED69A46}">
  <dimension ref="B1:M11"/>
  <sheetViews>
    <sheetView tabSelected="1" zoomScale="130" zoomScaleNormal="130" workbookViewId="0">
      <selection activeCell="O20" sqref="O20"/>
    </sheetView>
  </sheetViews>
  <sheetFormatPr defaultRowHeight="15"/>
  <cols>
    <col min="2" max="2" width="22.140625" customWidth="1"/>
    <col min="3" max="10" width="10.42578125" customWidth="1"/>
    <col min="11" max="13" width="11.42578125" customWidth="1"/>
  </cols>
  <sheetData>
    <row r="1" spans="2:13" ht="15.75" thickBot="1">
      <c r="B1" s="2" t="s">
        <v>0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</row>
    <row r="2" spans="2:13" ht="16.5" thickTop="1" thickBot="1">
      <c r="B2" s="2"/>
      <c r="C2" s="3" t="s">
        <v>9</v>
      </c>
      <c r="D2" s="4"/>
      <c r="E2" s="4"/>
      <c r="F2" s="4"/>
      <c r="G2" s="4"/>
      <c r="H2" s="4"/>
      <c r="I2" s="4"/>
      <c r="J2" s="4"/>
      <c r="K2" s="4"/>
      <c r="L2" s="4"/>
      <c r="M2" s="5"/>
    </row>
    <row r="3" spans="2:13" ht="15.75" thickTop="1">
      <c r="B3" s="6" t="s">
        <v>2</v>
      </c>
      <c r="C3">
        <f>'0.4'!D2</f>
        <v>3.1423361272983501E-2</v>
      </c>
      <c r="D3">
        <f>'0.45'!D2</f>
        <v>2.698106872580823E-2</v>
      </c>
      <c r="E3">
        <f>'0.5'!D2</f>
        <v>3.4143942319684581E-2</v>
      </c>
      <c r="F3">
        <f>'0.55'!D2</f>
        <v>2.8219376164583497E-2</v>
      </c>
      <c r="G3">
        <f>'0.6'!D2</f>
        <v>7.5462472206245385E-3</v>
      </c>
      <c r="H3">
        <f>'0.65'!D2</f>
        <v>8.0356720815541948E-4</v>
      </c>
      <c r="I3">
        <f>'0.7'!D2</f>
        <v>0</v>
      </c>
      <c r="J3">
        <f>'0.75'!D2</f>
        <v>0</v>
      </c>
      <c r="K3">
        <f>'0.8'!D2</f>
        <v>0</v>
      </c>
      <c r="L3">
        <f>'0.85'!D2</f>
        <v>0</v>
      </c>
      <c r="M3">
        <f>'0.9'!D2</f>
        <v>0</v>
      </c>
    </row>
    <row r="4" spans="2:13">
      <c r="B4" s="6" t="s">
        <v>3</v>
      </c>
      <c r="C4">
        <f>'0.4'!D3</f>
        <v>3.3239788522406964E-2</v>
      </c>
      <c r="D4">
        <f>'0.45'!D3</f>
        <v>3.7031091576104215E-2</v>
      </c>
      <c r="E4">
        <f>'0.5'!D3</f>
        <v>4.2519066780714009E-2</v>
      </c>
      <c r="F4">
        <f>'0.55'!D3</f>
        <v>4.8703596923006083E-2</v>
      </c>
      <c r="G4">
        <f>'0.6'!D3</f>
        <v>5.0639632594337326E-2</v>
      </c>
      <c r="H4">
        <f>'0.65'!D3</f>
        <v>4.3795927865601873E-2</v>
      </c>
      <c r="I4">
        <f>'0.7'!D3</f>
        <v>3.7641527233504703E-2</v>
      </c>
      <c r="J4">
        <f>'0.75'!D3</f>
        <v>3.0624749963285749E-2</v>
      </c>
      <c r="K4">
        <f>'0.8'!D3</f>
        <v>5.1856331941005626E-2</v>
      </c>
      <c r="L4">
        <f>'0.85'!D3</f>
        <v>8.266131940737749E-2</v>
      </c>
      <c r="M4">
        <f>'0.9'!D3</f>
        <v>8.7284788443494007E-2</v>
      </c>
    </row>
    <row r="5" spans="2:13">
      <c r="B5" s="6" t="s">
        <v>11</v>
      </c>
      <c r="C5">
        <f>'0.4'!D4</f>
        <v>2.900865829958128E-2</v>
      </c>
      <c r="D5">
        <f>'0.45'!D4</f>
        <v>3.0134996826281776E-2</v>
      </c>
      <c r="E5">
        <f>'0.5'!D4</f>
        <v>2.9302448249324996E-2</v>
      </c>
      <c r="F5">
        <f>'0.55'!D4</f>
        <v>2.8475624841438164E-2</v>
      </c>
      <c r="G5">
        <f>'0.6'!D4</f>
        <v>2.651153423714455E-2</v>
      </c>
      <c r="H5">
        <f>'0.65'!D4</f>
        <v>3.2080269455598366E-2</v>
      </c>
      <c r="I5">
        <f>'0.7'!D4</f>
        <v>5.0330348481332013E-2</v>
      </c>
      <c r="J5">
        <f>'0.75'!D4</f>
        <v>5.3471142598153651E-2</v>
      </c>
      <c r="K5">
        <f>'0.8'!D4</f>
        <v>6.5080295097872443E-2</v>
      </c>
      <c r="L5">
        <f>'0.85'!D4</f>
        <v>5.4040017888313446E-2</v>
      </c>
      <c r="M5">
        <f>'0.9'!D4</f>
        <v>4.3642394221747004E-2</v>
      </c>
    </row>
    <row r="6" spans="2:13">
      <c r="B6" s="6" t="s">
        <v>4</v>
      </c>
      <c r="C6">
        <f>'0.4'!D5</f>
        <v>2.6629973660193752E-2</v>
      </c>
      <c r="D6">
        <f>'0.45'!D5</f>
        <v>2.8810993343084016E-2</v>
      </c>
      <c r="E6">
        <f>'0.5'!D5</f>
        <v>3.2194609363081203E-2</v>
      </c>
      <c r="F6">
        <f>'0.55'!D5</f>
        <v>3.6838540760900339E-2</v>
      </c>
      <c r="G6">
        <f>'0.6'!D5</f>
        <v>4.3671697954193595E-2</v>
      </c>
      <c r="H6">
        <f>'0.65'!D5</f>
        <v>5.5481891861427685E-2</v>
      </c>
      <c r="I6">
        <f>'0.7'!D5</f>
        <v>5.7357245543175714E-2</v>
      </c>
      <c r="J6">
        <f>'0.75'!D5</f>
        <v>3.7866319611487259E-2</v>
      </c>
      <c r="K6">
        <f>'0.8'!D5</f>
        <v>4.0768111285414577E-2</v>
      </c>
      <c r="L6">
        <f>'0.85'!D5</f>
        <v>5.7704236933596845E-2</v>
      </c>
      <c r="M6">
        <f>'0.9'!D5</f>
        <v>8.7284788443494007E-2</v>
      </c>
    </row>
    <row r="7" spans="2:13">
      <c r="B7" s="6" t="s">
        <v>5</v>
      </c>
      <c r="C7">
        <f>'0.4'!D6</f>
        <v>7.5835387092913292E-2</v>
      </c>
      <c r="D7">
        <f>'0.45'!D6</f>
        <v>8.624437979972055E-2</v>
      </c>
      <c r="E7">
        <f>'0.5'!D6</f>
        <v>0.10041406747767695</v>
      </c>
      <c r="F7">
        <f>'0.55'!D6</f>
        <v>0.11974867381748211</v>
      </c>
      <c r="G7">
        <f>'0.6'!D6</f>
        <v>0.1461557468153816</v>
      </c>
      <c r="H7">
        <f>'0.65'!D6</f>
        <v>0.17229426316038257</v>
      </c>
      <c r="I7">
        <f>'0.7'!D6</f>
        <v>0.20550146682406292</v>
      </c>
      <c r="J7">
        <f>'0.75'!D6</f>
        <v>0.22901590613305242</v>
      </c>
      <c r="K7">
        <f>'0.8'!D6</f>
        <v>0.22916076029912996</v>
      </c>
      <c r="L7">
        <f>'0.85'!D6</f>
        <v>0.32373519525671168</v>
      </c>
      <c r="M7">
        <f>'0.9'!D6</f>
        <v>0.41261701616950708</v>
      </c>
    </row>
    <row r="8" spans="2:13">
      <c r="B8" s="6" t="s">
        <v>8</v>
      </c>
      <c r="C8">
        <f>'0.4'!D7</f>
        <v>8.6034692455174852E-2</v>
      </c>
      <c r="D8">
        <f>'0.45'!D7</f>
        <v>9.3797859726848079E-2</v>
      </c>
      <c r="E8">
        <f>'0.5'!D7</f>
        <v>0.1023884666457609</v>
      </c>
      <c r="F8">
        <f>'0.55'!D7</f>
        <v>0.10580378130656529</v>
      </c>
      <c r="G8">
        <f>'0.6'!D7</f>
        <v>0.10517394799646911</v>
      </c>
      <c r="H8">
        <f>'0.65'!D7</f>
        <v>0.10715047553483277</v>
      </c>
      <c r="I8">
        <f>'0.7'!D7</f>
        <v>9.1251150000083478E-2</v>
      </c>
      <c r="J8">
        <f>'0.75'!D7</f>
        <v>9.11982012548678E-2</v>
      </c>
      <c r="K8">
        <f>'0.8'!D7</f>
        <v>0.10608781114744183</v>
      </c>
      <c r="L8">
        <f>'0.85'!D7</f>
        <v>5.398231365137985E-2</v>
      </c>
      <c r="M8">
        <f>'0.9'!D7</f>
        <v>4.3642394221747004E-2</v>
      </c>
    </row>
    <row r="9" spans="2:13">
      <c r="B9" s="6" t="s">
        <v>12</v>
      </c>
      <c r="C9">
        <f>'0.4'!D8</f>
        <v>6.2725969647549271E-3</v>
      </c>
      <c r="D9">
        <f>'0.45'!D8</f>
        <v>7.3852468930097987E-3</v>
      </c>
      <c r="E9">
        <f>'0.5'!D8</f>
        <v>9.3762209784532154E-3</v>
      </c>
      <c r="F9">
        <f>'0.55'!D8</f>
        <v>1.3142174970076201E-2</v>
      </c>
      <c r="G9">
        <f>'0.6'!D8</f>
        <v>1.7781572692810537E-2</v>
      </c>
      <c r="H9">
        <f>'0.65'!D8</f>
        <v>1.842477798880339E-2</v>
      </c>
      <c r="I9">
        <f>'0.7'!D8</f>
        <v>1.1555100657357579E-2</v>
      </c>
      <c r="J9">
        <f>'0.75'!D8</f>
        <v>5.8337679963133826E-3</v>
      </c>
      <c r="K9">
        <f>'0.8'!D8</f>
        <v>0</v>
      </c>
      <c r="L9">
        <f>'0.85'!D8</f>
        <v>0</v>
      </c>
      <c r="M9">
        <f>'0.9'!D8</f>
        <v>0</v>
      </c>
    </row>
    <row r="10" spans="2:13">
      <c r="B10" s="6" t="s">
        <v>6</v>
      </c>
      <c r="C10">
        <f>'0.4'!D9</f>
        <v>0.64910324588542412</v>
      </c>
      <c r="D10">
        <f>'0.45'!D9</f>
        <v>0.61961445102753698</v>
      </c>
      <c r="E10">
        <f>'0.5'!D9</f>
        <v>0.56743516316363618</v>
      </c>
      <c r="F10">
        <f>'0.55'!D9</f>
        <v>0.51759720482713412</v>
      </c>
      <c r="G10">
        <f>'0.6'!D9</f>
        <v>0.47959283072994624</v>
      </c>
      <c r="H10">
        <f>'0.65'!D9</f>
        <v>0.42533672859669053</v>
      </c>
      <c r="I10">
        <f>'0.7'!D9</f>
        <v>0.36465897384094181</v>
      </c>
      <c r="J10">
        <f>'0.75'!D9</f>
        <v>0.32802284892465228</v>
      </c>
      <c r="K10">
        <f>'0.8'!D9</f>
        <v>0.29089568882420763</v>
      </c>
      <c r="L10">
        <f>'0.85'!D9</f>
        <v>0.25251374082141981</v>
      </c>
      <c r="M10">
        <f>'0.9'!D9</f>
        <v>0.17456957688698801</v>
      </c>
    </row>
    <row r="11" spans="2:13">
      <c r="B11" s="6" t="s">
        <v>7</v>
      </c>
      <c r="C11">
        <f>'0.4'!D10</f>
        <v>6.2452295846567245E-2</v>
      </c>
      <c r="D11">
        <f>'0.45'!D10</f>
        <v>6.9999912081606469E-2</v>
      </c>
      <c r="E11">
        <f>'0.5'!D10</f>
        <v>8.2226015021667931E-2</v>
      </c>
      <c r="F11">
        <f>'0.55'!D10</f>
        <v>0.10147102638881421</v>
      </c>
      <c r="G11">
        <f>'0.6'!D10</f>
        <v>0.12292678975909252</v>
      </c>
      <c r="H11">
        <f>'0.65'!D10</f>
        <v>0.14463209832850751</v>
      </c>
      <c r="I11">
        <f>'0.7'!D10</f>
        <v>0.18170418741954175</v>
      </c>
      <c r="J11">
        <f>'0.75'!D10</f>
        <v>0.22396706351818746</v>
      </c>
      <c r="K11">
        <f>'0.8'!D10</f>
        <v>0.21615100140492793</v>
      </c>
      <c r="L11">
        <f>'0.85'!D10</f>
        <v>0.17536317604120083</v>
      </c>
      <c r="M11">
        <f>'0.9'!D10</f>
        <v>0.1509590416130229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06B29-FD34-452A-8F73-2D15260DD6B8}">
  <dimension ref="A1:D12"/>
  <sheetViews>
    <sheetView workbookViewId="0">
      <selection activeCell="D2" sqref="D2"/>
    </sheetView>
  </sheetViews>
  <sheetFormatPr defaultRowHeight="15"/>
  <cols>
    <col min="1" max="1" width="14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B2" s="6" t="s">
        <v>2</v>
      </c>
      <c r="C2">
        <v>1150.731</v>
      </c>
      <c r="D2">
        <f>C2/C11</f>
        <v>3.1423361272983501E-2</v>
      </c>
    </row>
    <row r="3" spans="1:4">
      <c r="B3" s="6" t="s">
        <v>3</v>
      </c>
      <c r="C3">
        <v>1217.249</v>
      </c>
      <c r="D3">
        <f>C3/C11</f>
        <v>3.3239788522406964E-2</v>
      </c>
    </row>
    <row r="4" spans="1:4">
      <c r="B4" s="6" t="s">
        <v>11</v>
      </c>
      <c r="C4">
        <v>1062.3040000000001</v>
      </c>
      <c r="D4">
        <f>C4/C11</f>
        <v>2.900865829958128E-2</v>
      </c>
    </row>
    <row r="5" spans="1:4">
      <c r="B5" s="6" t="s">
        <v>4</v>
      </c>
      <c r="C5">
        <v>975.19600000000003</v>
      </c>
      <c r="D5">
        <f>C5/C11</f>
        <v>2.6629973660193752E-2</v>
      </c>
    </row>
    <row r="6" spans="1:4">
      <c r="B6" s="6" t="s">
        <v>5</v>
      </c>
      <c r="C6">
        <v>2777.11</v>
      </c>
      <c r="D6">
        <f>C6/C11</f>
        <v>7.5835387092913292E-2</v>
      </c>
    </row>
    <row r="7" spans="1:4">
      <c r="B7" s="6" t="s">
        <v>8</v>
      </c>
      <c r="C7">
        <v>3150.6109999999999</v>
      </c>
      <c r="D7">
        <f>C7/C11</f>
        <v>8.6034692455174852E-2</v>
      </c>
    </row>
    <row r="8" spans="1:4">
      <c r="B8" s="6" t="s">
        <v>12</v>
      </c>
      <c r="C8">
        <v>229.70400000000001</v>
      </c>
      <c r="D8">
        <f>C8/C11</f>
        <v>6.2725969647549271E-3</v>
      </c>
    </row>
    <row r="9" spans="1:4">
      <c r="B9" s="6" t="s">
        <v>6</v>
      </c>
      <c r="C9">
        <v>23770.315999999999</v>
      </c>
      <c r="D9">
        <f>C9/C11</f>
        <v>0.64910324588542412</v>
      </c>
    </row>
    <row r="10" spans="1:4">
      <c r="B10" s="6" t="s">
        <v>7</v>
      </c>
      <c r="C10">
        <v>2287.018</v>
      </c>
      <c r="D10">
        <f t="shared" ref="D10" si="0">C10/C11</f>
        <v>6.2452295846567245E-2</v>
      </c>
    </row>
    <row r="11" spans="1:4">
      <c r="A11" t="s">
        <v>13</v>
      </c>
      <c r="B11" s="6"/>
      <c r="C11">
        <f>SUM(C2:C10)</f>
        <v>36620.239000000001</v>
      </c>
    </row>
    <row r="12" spans="1:4">
      <c r="A12" t="s">
        <v>14</v>
      </c>
      <c r="B12" s="6"/>
      <c r="C12">
        <v>0.4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3B96-CAFB-443B-AA49-4129992BCD38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726.02599999999995</v>
      </c>
      <c r="D2">
        <f>C2/C11</f>
        <v>3.4143942319684581E-2</v>
      </c>
    </row>
    <row r="3" spans="1:4">
      <c r="A3">
        <v>1</v>
      </c>
      <c r="B3" s="6" t="s">
        <v>3</v>
      </c>
      <c r="C3">
        <v>904.11199999999997</v>
      </c>
      <c r="D3">
        <f>C3/C11</f>
        <v>4.2519066780714009E-2</v>
      </c>
    </row>
    <row r="4" spans="1:4">
      <c r="A4">
        <v>2</v>
      </c>
      <c r="B4" s="6" t="s">
        <v>11</v>
      </c>
      <c r="C4">
        <v>623.07799999999997</v>
      </c>
      <c r="D4">
        <f>C4/C11</f>
        <v>2.9302448249324996E-2</v>
      </c>
    </row>
    <row r="5" spans="1:4">
      <c r="A5">
        <v>3</v>
      </c>
      <c r="B5" s="6" t="s">
        <v>4</v>
      </c>
      <c r="C5">
        <v>684.57600000000002</v>
      </c>
      <c r="D5">
        <f>C5/C11</f>
        <v>3.2194609363081203E-2</v>
      </c>
    </row>
    <row r="6" spans="1:4">
      <c r="A6">
        <v>4</v>
      </c>
      <c r="B6" s="6" t="s">
        <v>5</v>
      </c>
      <c r="C6">
        <v>2135.1729999999998</v>
      </c>
      <c r="D6">
        <f>C6/C11</f>
        <v>0.10041406747767695</v>
      </c>
    </row>
    <row r="7" spans="1:4">
      <c r="A7">
        <v>5</v>
      </c>
      <c r="B7" s="6" t="s">
        <v>8</v>
      </c>
      <c r="C7">
        <v>2177.1559999999999</v>
      </c>
      <c r="D7">
        <f>C7/C11</f>
        <v>0.1023884666457609</v>
      </c>
    </row>
    <row r="8" spans="1:4">
      <c r="A8">
        <v>6</v>
      </c>
      <c r="B8" s="6" t="s">
        <v>12</v>
      </c>
      <c r="C8">
        <v>199.37299999999999</v>
      </c>
      <c r="D8">
        <f>C8/C11</f>
        <v>9.3762209784532154E-3</v>
      </c>
    </row>
    <row r="9" spans="1:4">
      <c r="A9">
        <v>7</v>
      </c>
      <c r="B9" s="6" t="s">
        <v>6</v>
      </c>
      <c r="C9">
        <v>12065.762000000001</v>
      </c>
      <c r="D9">
        <f>C9/C11</f>
        <v>0.56743516316363618</v>
      </c>
    </row>
    <row r="10" spans="1:4">
      <c r="A10">
        <v>8</v>
      </c>
      <c r="B10" s="6" t="s">
        <v>7</v>
      </c>
      <c r="C10">
        <v>1748.4280000000001</v>
      </c>
      <c r="D10">
        <f t="shared" ref="D10" si="0">C10/C11</f>
        <v>8.2226015021667931E-2</v>
      </c>
    </row>
    <row r="11" spans="1:4">
      <c r="A11" t="s">
        <v>13</v>
      </c>
      <c r="B11" s="6"/>
      <c r="C11">
        <f>SUM(C2:C10)</f>
        <v>21263.684000000001</v>
      </c>
    </row>
    <row r="12" spans="1:4">
      <c r="A12" t="s">
        <v>14</v>
      </c>
      <c r="B12" s="6"/>
      <c r="C12">
        <v>0.5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16585-A55A-41F0-8985-302814748246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55.156999999999996</v>
      </c>
      <c r="D2">
        <f>C2/C11</f>
        <v>7.5462472206245385E-3</v>
      </c>
    </row>
    <row r="3" spans="1:4">
      <c r="A3">
        <v>1</v>
      </c>
      <c r="B3" s="6" t="s">
        <v>3</v>
      </c>
      <c r="C3">
        <v>370.13499999999999</v>
      </c>
      <c r="D3">
        <f>C3/C11</f>
        <v>5.0639632594337326E-2</v>
      </c>
    </row>
    <row r="4" spans="1:4">
      <c r="A4">
        <v>2</v>
      </c>
      <c r="B4" s="6" t="s">
        <v>11</v>
      </c>
      <c r="C4">
        <v>193.77799999999999</v>
      </c>
      <c r="D4">
        <f>C4/C11</f>
        <v>2.651153423714455E-2</v>
      </c>
    </row>
    <row r="5" spans="1:4">
      <c r="A5">
        <v>3</v>
      </c>
      <c r="B5" s="6" t="s">
        <v>4</v>
      </c>
      <c r="C5">
        <v>319.20499999999998</v>
      </c>
      <c r="D5">
        <f>C5/C11</f>
        <v>4.3671697954193595E-2</v>
      </c>
    </row>
    <row r="6" spans="1:4">
      <c r="A6">
        <v>4</v>
      </c>
      <c r="B6" s="6" t="s">
        <v>5</v>
      </c>
      <c r="C6">
        <v>1068.2809999999999</v>
      </c>
      <c r="D6">
        <f>C6/C11</f>
        <v>0.1461557468153816</v>
      </c>
    </row>
    <row r="7" spans="1:4">
      <c r="A7">
        <v>5</v>
      </c>
      <c r="B7" s="6" t="s">
        <v>8</v>
      </c>
      <c r="C7">
        <v>768.73699999999997</v>
      </c>
      <c r="D7">
        <f>C7/C11</f>
        <v>0.10517394799646911</v>
      </c>
    </row>
    <row r="8" spans="1:4">
      <c r="A8">
        <v>6</v>
      </c>
      <c r="B8" s="6" t="s">
        <v>12</v>
      </c>
      <c r="C8">
        <v>129.96899999999999</v>
      </c>
      <c r="D8">
        <f>C8/C11</f>
        <v>1.7781572692810537E-2</v>
      </c>
    </row>
    <row r="9" spans="1:4">
      <c r="A9">
        <v>7</v>
      </c>
      <c r="B9" s="6" t="s">
        <v>6</v>
      </c>
      <c r="C9">
        <v>3505.4380000000001</v>
      </c>
      <c r="D9">
        <f>C9/C11</f>
        <v>0.47959283072994624</v>
      </c>
    </row>
    <row r="10" spans="1:4">
      <c r="A10">
        <v>8</v>
      </c>
      <c r="B10" s="6" t="s">
        <v>7</v>
      </c>
      <c r="C10">
        <v>898.49599999999998</v>
      </c>
      <c r="D10">
        <f t="shared" ref="D10" si="0">C10/C11</f>
        <v>0.12292678975909252</v>
      </c>
    </row>
    <row r="11" spans="1:4">
      <c r="A11" t="s">
        <v>13</v>
      </c>
      <c r="B11" s="6"/>
      <c r="C11">
        <f>SUM(C2:C10)</f>
        <v>7309.1959999999999</v>
      </c>
    </row>
    <row r="12" spans="1:4">
      <c r="A12" t="s">
        <v>14</v>
      </c>
      <c r="B12" s="6"/>
      <c r="C12">
        <v>0.6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E20AD-4430-40C6-AD55-A1C12DB5E880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0</v>
      </c>
      <c r="D2">
        <f>C2/C11</f>
        <v>0</v>
      </c>
    </row>
    <row r="3" spans="1:4">
      <c r="A3">
        <v>1</v>
      </c>
      <c r="B3" s="6" t="s">
        <v>3</v>
      </c>
      <c r="C3">
        <v>45.088000000000001</v>
      </c>
      <c r="D3">
        <f>C3/C11</f>
        <v>3.7641527233504703E-2</v>
      </c>
    </row>
    <row r="4" spans="1:4">
      <c r="A4">
        <v>2</v>
      </c>
      <c r="B4" s="6" t="s">
        <v>11</v>
      </c>
      <c r="C4">
        <v>60.286999999999999</v>
      </c>
      <c r="D4">
        <f>C4/C11</f>
        <v>5.0330348481332013E-2</v>
      </c>
    </row>
    <row r="5" spans="1:4">
      <c r="A5">
        <v>3</v>
      </c>
      <c r="B5" s="6" t="s">
        <v>4</v>
      </c>
      <c r="C5">
        <v>68.703999999999994</v>
      </c>
      <c r="D5">
        <f>C5/C11</f>
        <v>5.7357245543175714E-2</v>
      </c>
    </row>
    <row r="6" spans="1:4">
      <c r="A6">
        <v>4</v>
      </c>
      <c r="B6" s="6" t="s">
        <v>5</v>
      </c>
      <c r="C6">
        <v>246.155</v>
      </c>
      <c r="D6">
        <f>C6/C11</f>
        <v>0.20550146682406292</v>
      </c>
    </row>
    <row r="7" spans="1:4">
      <c r="A7">
        <v>5</v>
      </c>
      <c r="B7" s="6" t="s">
        <v>8</v>
      </c>
      <c r="C7">
        <v>109.303</v>
      </c>
      <c r="D7">
        <f>C7/C11</f>
        <v>9.1251150000083478E-2</v>
      </c>
    </row>
    <row r="8" spans="1:4">
      <c r="A8">
        <v>6</v>
      </c>
      <c r="B8" s="6" t="s">
        <v>12</v>
      </c>
      <c r="C8">
        <v>13.840999999999999</v>
      </c>
      <c r="D8">
        <f>C8/C11</f>
        <v>1.1555100657357579E-2</v>
      </c>
    </row>
    <row r="9" spans="1:4">
      <c r="A9">
        <v>7</v>
      </c>
      <c r="B9" s="6" t="s">
        <v>6</v>
      </c>
      <c r="C9">
        <v>436.798</v>
      </c>
      <c r="D9">
        <f>C9/C11</f>
        <v>0.36465897384094181</v>
      </c>
    </row>
    <row r="10" spans="1:4">
      <c r="A10">
        <v>8</v>
      </c>
      <c r="B10" s="6" t="s">
        <v>7</v>
      </c>
      <c r="C10">
        <v>217.65</v>
      </c>
      <c r="D10">
        <f t="shared" ref="D10" si="0">C10/C11</f>
        <v>0.18170418741954175</v>
      </c>
    </row>
    <row r="11" spans="1:4">
      <c r="A11" t="s">
        <v>13</v>
      </c>
      <c r="B11" s="6"/>
      <c r="C11">
        <f>SUM(C2:C10)</f>
        <v>1197.826</v>
      </c>
    </row>
    <row r="12" spans="1:4">
      <c r="A12" t="s">
        <v>14</v>
      </c>
      <c r="B12" s="6"/>
      <c r="C12">
        <v>0.7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1134-178A-48EA-8869-603DB690D3F7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0</v>
      </c>
      <c r="D2">
        <f>C2/C11</f>
        <v>0</v>
      </c>
    </row>
    <row r="3" spans="1:4">
      <c r="A3">
        <v>1</v>
      </c>
      <c r="B3" s="6" t="s">
        <v>3</v>
      </c>
      <c r="C3">
        <v>8.2309999999999999</v>
      </c>
      <c r="D3">
        <f>C3/C11</f>
        <v>5.1856331941005626E-2</v>
      </c>
    </row>
    <row r="4" spans="1:4">
      <c r="A4">
        <v>2</v>
      </c>
      <c r="B4" s="6" t="s">
        <v>11</v>
      </c>
      <c r="C4">
        <v>10.33</v>
      </c>
      <c r="D4">
        <f>C4/C11</f>
        <v>6.5080295097872443E-2</v>
      </c>
    </row>
    <row r="5" spans="1:4">
      <c r="A5">
        <v>3</v>
      </c>
      <c r="B5" s="6" t="s">
        <v>4</v>
      </c>
      <c r="C5">
        <v>6.4710000000000001</v>
      </c>
      <c r="D5">
        <f>C5/C11</f>
        <v>4.0768111285414577E-2</v>
      </c>
    </row>
    <row r="6" spans="1:4">
      <c r="A6">
        <v>4</v>
      </c>
      <c r="B6" s="6" t="s">
        <v>5</v>
      </c>
      <c r="C6">
        <v>36.374000000000002</v>
      </c>
      <c r="D6">
        <f>C6/C11</f>
        <v>0.22916076029912996</v>
      </c>
    </row>
    <row r="7" spans="1:4">
      <c r="A7">
        <v>5</v>
      </c>
      <c r="B7" s="6" t="s">
        <v>8</v>
      </c>
      <c r="C7">
        <v>16.838999999999999</v>
      </c>
      <c r="D7">
        <f>C7/C11</f>
        <v>0.10608781114744183</v>
      </c>
    </row>
    <row r="8" spans="1:4">
      <c r="A8">
        <v>6</v>
      </c>
      <c r="B8" s="6" t="s">
        <v>12</v>
      </c>
      <c r="C8">
        <v>0</v>
      </c>
      <c r="D8">
        <f>C8/C11</f>
        <v>0</v>
      </c>
    </row>
    <row r="9" spans="1:4">
      <c r="A9">
        <v>7</v>
      </c>
      <c r="B9" s="6" t="s">
        <v>6</v>
      </c>
      <c r="C9">
        <v>46.173000000000002</v>
      </c>
      <c r="D9">
        <f>C9/C11</f>
        <v>0.29089568882420763</v>
      </c>
    </row>
    <row r="10" spans="1:4">
      <c r="A10">
        <v>8</v>
      </c>
      <c r="B10" s="6" t="s">
        <v>7</v>
      </c>
      <c r="C10">
        <v>34.308999999999997</v>
      </c>
      <c r="D10">
        <f t="shared" ref="D10" si="0">C10/C11</f>
        <v>0.21615100140492793</v>
      </c>
    </row>
    <row r="11" spans="1:4">
      <c r="A11" t="s">
        <v>13</v>
      </c>
      <c r="B11" s="6"/>
      <c r="C11">
        <f>SUM(C2:C10)</f>
        <v>158.727</v>
      </c>
    </row>
    <row r="12" spans="1:4">
      <c r="A12" t="s">
        <v>14</v>
      </c>
      <c r="B12" s="6"/>
      <c r="C12">
        <v>0.8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B58E-710F-4F4F-90A9-9DF50EAFC1AD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0</v>
      </c>
      <c r="D2">
        <f>C2/C11</f>
        <v>0</v>
      </c>
    </row>
    <row r="3" spans="1:4">
      <c r="A3">
        <v>1</v>
      </c>
      <c r="B3" s="6" t="s">
        <v>3</v>
      </c>
      <c r="C3">
        <v>4</v>
      </c>
      <c r="D3">
        <f>C3/C11</f>
        <v>8.7284788443494007E-2</v>
      </c>
    </row>
    <row r="4" spans="1:4">
      <c r="A4">
        <v>2</v>
      </c>
      <c r="B4" s="6" t="s">
        <v>11</v>
      </c>
      <c r="C4">
        <v>2</v>
      </c>
      <c r="D4">
        <f>C4/C11</f>
        <v>4.3642394221747004E-2</v>
      </c>
    </row>
    <row r="5" spans="1:4">
      <c r="A5">
        <v>3</v>
      </c>
      <c r="B5" s="6" t="s">
        <v>4</v>
      </c>
      <c r="C5">
        <v>4</v>
      </c>
      <c r="D5">
        <f>C5/C11</f>
        <v>8.7284788443494007E-2</v>
      </c>
    </row>
    <row r="6" spans="1:4">
      <c r="A6">
        <v>4</v>
      </c>
      <c r="B6" s="6" t="s">
        <v>5</v>
      </c>
      <c r="C6">
        <v>18.908999999999999</v>
      </c>
      <c r="D6">
        <f>C6/C11</f>
        <v>0.41261701616950708</v>
      </c>
    </row>
    <row r="7" spans="1:4">
      <c r="A7">
        <v>5</v>
      </c>
      <c r="B7" s="6" t="s">
        <v>8</v>
      </c>
      <c r="C7">
        <v>2</v>
      </c>
      <c r="D7">
        <f>C7/C11</f>
        <v>4.3642394221747004E-2</v>
      </c>
    </row>
    <row r="8" spans="1:4">
      <c r="A8">
        <v>6</v>
      </c>
      <c r="B8" s="6" t="s">
        <v>12</v>
      </c>
      <c r="C8">
        <v>0</v>
      </c>
      <c r="D8">
        <f>C8/C11</f>
        <v>0</v>
      </c>
    </row>
    <row r="9" spans="1:4">
      <c r="A9">
        <v>7</v>
      </c>
      <c r="B9" s="6" t="s">
        <v>6</v>
      </c>
      <c r="C9">
        <v>8</v>
      </c>
      <c r="D9">
        <f>C9/C11</f>
        <v>0.17456957688698801</v>
      </c>
    </row>
    <row r="10" spans="1:4">
      <c r="A10">
        <v>8</v>
      </c>
      <c r="B10" s="6" t="s">
        <v>7</v>
      </c>
      <c r="C10">
        <v>6.9180000000000001</v>
      </c>
      <c r="D10">
        <f t="shared" ref="D10" si="0">C10/C11</f>
        <v>0.1509590416130229</v>
      </c>
    </row>
    <row r="11" spans="1:4">
      <c r="A11" t="s">
        <v>13</v>
      </c>
      <c r="B11" s="6"/>
      <c r="C11">
        <f>SUM(C2:C10)</f>
        <v>45.826999999999998</v>
      </c>
    </row>
    <row r="12" spans="1:4">
      <c r="A12" t="s">
        <v>14</v>
      </c>
      <c r="B12" s="6"/>
      <c r="C12">
        <v>0.9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E520-04AA-4680-9C5B-57A4D467DC75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794.83900000000006</v>
      </c>
      <c r="D2">
        <f>C2/C11</f>
        <v>2.698106872580823E-2</v>
      </c>
    </row>
    <row r="3" spans="1:4">
      <c r="A3">
        <v>1</v>
      </c>
      <c r="B3" s="6" t="s">
        <v>3</v>
      </c>
      <c r="C3">
        <v>1090.904</v>
      </c>
      <c r="D3">
        <f>C3/C11</f>
        <v>3.7031091576104215E-2</v>
      </c>
    </row>
    <row r="4" spans="1:4">
      <c r="A4">
        <v>2</v>
      </c>
      <c r="B4" s="6" t="s">
        <v>11</v>
      </c>
      <c r="C4">
        <v>887.75099999999998</v>
      </c>
      <c r="D4">
        <f>C4/C11</f>
        <v>3.0134996826281776E-2</v>
      </c>
    </row>
    <row r="5" spans="1:4">
      <c r="A5">
        <v>3</v>
      </c>
      <c r="B5" s="6" t="s">
        <v>4</v>
      </c>
      <c r="C5">
        <v>848.74699999999996</v>
      </c>
      <c r="D5">
        <f>C5/C11</f>
        <v>2.8810993343084016E-2</v>
      </c>
    </row>
    <row r="6" spans="1:4">
      <c r="A6">
        <v>4</v>
      </c>
      <c r="B6" s="6" t="s">
        <v>5</v>
      </c>
      <c r="C6">
        <v>2540.6849999999999</v>
      </c>
      <c r="D6">
        <f>C6/C11</f>
        <v>8.624437979972055E-2</v>
      </c>
    </row>
    <row r="7" spans="1:4">
      <c r="A7">
        <v>5</v>
      </c>
      <c r="B7" s="6" t="s">
        <v>8</v>
      </c>
      <c r="C7">
        <v>2763.2040000000002</v>
      </c>
      <c r="D7">
        <f>C7/C11</f>
        <v>9.3797859726848079E-2</v>
      </c>
    </row>
    <row r="8" spans="1:4">
      <c r="A8">
        <v>6</v>
      </c>
      <c r="B8" s="6" t="s">
        <v>12</v>
      </c>
      <c r="C8">
        <v>217.56299999999999</v>
      </c>
      <c r="D8">
        <f>C8/C11</f>
        <v>7.3852468930097987E-3</v>
      </c>
    </row>
    <row r="9" spans="1:4">
      <c r="A9">
        <v>7</v>
      </c>
      <c r="B9" s="6" t="s">
        <v>6</v>
      </c>
      <c r="C9">
        <v>18253.307000000001</v>
      </c>
      <c r="D9">
        <f>C9/C11</f>
        <v>0.61961445102753698</v>
      </c>
    </row>
    <row r="10" spans="1:4">
      <c r="A10">
        <v>8</v>
      </c>
      <c r="B10" s="6" t="s">
        <v>7</v>
      </c>
      <c r="C10">
        <v>2062.1370000000002</v>
      </c>
      <c r="D10">
        <f t="shared" ref="D10" si="0">C10/C11</f>
        <v>6.9999912081606469E-2</v>
      </c>
    </row>
    <row r="11" spans="1:4">
      <c r="A11" t="s">
        <v>13</v>
      </c>
      <c r="B11" s="6"/>
      <c r="C11">
        <f>SUM(C2:C10)</f>
        <v>29459.136999999999</v>
      </c>
    </row>
    <row r="12" spans="1:4">
      <c r="A12" t="s">
        <v>14</v>
      </c>
      <c r="B12" s="6"/>
      <c r="C12">
        <v>0.45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DB88-83F2-4BFF-AE13-1D8527ED0F79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376.29700000000003</v>
      </c>
      <c r="D2">
        <f>C2/C11</f>
        <v>2.8219376164583497E-2</v>
      </c>
    </row>
    <row r="3" spans="1:4">
      <c r="A3">
        <v>1</v>
      </c>
      <c r="B3" s="6" t="s">
        <v>3</v>
      </c>
      <c r="C3">
        <v>649.44799999999998</v>
      </c>
      <c r="D3">
        <f>C3/C11</f>
        <v>4.8703596923006083E-2</v>
      </c>
    </row>
    <row r="4" spans="1:4">
      <c r="A4">
        <v>2</v>
      </c>
      <c r="B4" s="6" t="s">
        <v>11</v>
      </c>
      <c r="C4">
        <v>379.714</v>
      </c>
      <c r="D4">
        <f>C4/C11</f>
        <v>2.8475624841438164E-2</v>
      </c>
    </row>
    <row r="5" spans="1:4">
      <c r="A5">
        <v>3</v>
      </c>
      <c r="B5" s="6" t="s">
        <v>4</v>
      </c>
      <c r="C5">
        <v>491.23099999999999</v>
      </c>
      <c r="D5">
        <f>C5/C11</f>
        <v>3.6838540760900339E-2</v>
      </c>
    </row>
    <row r="6" spans="1:4">
      <c r="A6">
        <v>4</v>
      </c>
      <c r="B6" s="6" t="s">
        <v>5</v>
      </c>
      <c r="C6">
        <v>1596.8130000000001</v>
      </c>
      <c r="D6">
        <f>C6/C11</f>
        <v>0.11974867381748211</v>
      </c>
    </row>
    <row r="7" spans="1:4">
      <c r="A7">
        <v>5</v>
      </c>
      <c r="B7" s="6" t="s">
        <v>8</v>
      </c>
      <c r="C7">
        <v>1410.8620000000001</v>
      </c>
      <c r="D7">
        <f>C7/C11</f>
        <v>0.10580378130656529</v>
      </c>
    </row>
    <row r="8" spans="1:4">
      <c r="A8">
        <v>6</v>
      </c>
      <c r="B8" s="6" t="s">
        <v>12</v>
      </c>
      <c r="C8">
        <v>175.24700000000001</v>
      </c>
      <c r="D8">
        <f>C8/C11</f>
        <v>1.3142174970076201E-2</v>
      </c>
    </row>
    <row r="9" spans="1:4">
      <c r="A9">
        <v>7</v>
      </c>
      <c r="B9" s="6" t="s">
        <v>6</v>
      </c>
      <c r="C9">
        <v>6902.0050000000001</v>
      </c>
      <c r="D9">
        <f>C9/C11</f>
        <v>0.51759720482713412</v>
      </c>
    </row>
    <row r="10" spans="1:4">
      <c r="A10">
        <v>8</v>
      </c>
      <c r="B10" s="6" t="s">
        <v>7</v>
      </c>
      <c r="C10">
        <v>1353.086</v>
      </c>
      <c r="D10">
        <f t="shared" ref="D10" si="0">C10/C11</f>
        <v>0.10147102638881421</v>
      </c>
    </row>
    <row r="11" spans="1:4">
      <c r="A11" t="s">
        <v>13</v>
      </c>
      <c r="B11" s="6"/>
      <c r="C11">
        <f>SUM(C2:C10)</f>
        <v>13334.703</v>
      </c>
    </row>
    <row r="12" spans="1:4">
      <c r="A12" t="s">
        <v>14</v>
      </c>
      <c r="B12" s="6"/>
      <c r="C12">
        <v>0.55000000000000004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33EE-AE7F-4CF6-9037-E016A2A31F3F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2.6520000000000001</v>
      </c>
      <c r="D2">
        <f>C2/C11</f>
        <v>8.0356720815541948E-4</v>
      </c>
    </row>
    <row r="3" spans="1:4">
      <c r="A3">
        <v>1</v>
      </c>
      <c r="B3" s="6" t="s">
        <v>3</v>
      </c>
      <c r="C3">
        <v>144.53899999999999</v>
      </c>
      <c r="D3">
        <f>C3/C11</f>
        <v>4.3795927865601873E-2</v>
      </c>
    </row>
    <row r="4" spans="1:4">
      <c r="A4">
        <v>2</v>
      </c>
      <c r="B4" s="6" t="s">
        <v>11</v>
      </c>
      <c r="C4">
        <v>105.874</v>
      </c>
      <c r="D4">
        <f>C4/C11</f>
        <v>3.2080269455598366E-2</v>
      </c>
    </row>
    <row r="5" spans="1:4">
      <c r="A5">
        <v>3</v>
      </c>
      <c r="B5" s="6" t="s">
        <v>4</v>
      </c>
      <c r="C5">
        <v>183.10599999999999</v>
      </c>
      <c r="D5">
        <f>C5/C11</f>
        <v>5.5481891861427685E-2</v>
      </c>
    </row>
    <row r="6" spans="1:4">
      <c r="A6">
        <v>4</v>
      </c>
      <c r="B6" s="6" t="s">
        <v>5</v>
      </c>
      <c r="C6">
        <v>568.62</v>
      </c>
      <c r="D6">
        <f>C6/C11</f>
        <v>0.17229426316038257</v>
      </c>
    </row>
    <row r="7" spans="1:4">
      <c r="A7">
        <v>5</v>
      </c>
      <c r="B7" s="6" t="s">
        <v>8</v>
      </c>
      <c r="C7">
        <v>353.62700000000001</v>
      </c>
      <c r="D7">
        <f>C7/C11</f>
        <v>0.10715047553483277</v>
      </c>
    </row>
    <row r="8" spans="1:4">
      <c r="A8">
        <v>6</v>
      </c>
      <c r="B8" s="6" t="s">
        <v>12</v>
      </c>
      <c r="C8">
        <v>60.807000000000002</v>
      </c>
      <c r="D8">
        <f>C8/C11</f>
        <v>1.842477798880339E-2</v>
      </c>
    </row>
    <row r="9" spans="1:4">
      <c r="A9">
        <v>7</v>
      </c>
      <c r="B9" s="6" t="s">
        <v>6</v>
      </c>
      <c r="C9">
        <v>1403.732</v>
      </c>
      <c r="D9">
        <f>C9/C11</f>
        <v>0.42533672859669053</v>
      </c>
    </row>
    <row r="10" spans="1:4">
      <c r="A10">
        <v>8</v>
      </c>
      <c r="B10" s="6" t="s">
        <v>7</v>
      </c>
      <c r="C10">
        <v>477.327</v>
      </c>
      <c r="D10">
        <f t="shared" ref="D10" si="0">C10/C11</f>
        <v>0.14463209832850751</v>
      </c>
    </row>
    <row r="11" spans="1:4">
      <c r="A11" t="s">
        <v>13</v>
      </c>
      <c r="B11" s="6"/>
      <c r="C11">
        <f>SUM(C2:C10)</f>
        <v>3300.2839999999997</v>
      </c>
    </row>
    <row r="12" spans="1:4">
      <c r="A12" t="s">
        <v>14</v>
      </c>
      <c r="B12" s="6"/>
      <c r="C12">
        <v>0.65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5287A-37C2-41C0-9F85-DAB9BFC4BC8B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0</v>
      </c>
      <c r="D2">
        <f>C2/C11</f>
        <v>0</v>
      </c>
    </row>
    <row r="3" spans="1:4">
      <c r="A3">
        <v>1</v>
      </c>
      <c r="B3" s="6" t="s">
        <v>3</v>
      </c>
      <c r="C3">
        <v>12.095000000000001</v>
      </c>
      <c r="D3">
        <f>C3/C11</f>
        <v>3.0624749963285749E-2</v>
      </c>
    </row>
    <row r="4" spans="1:4">
      <c r="A4">
        <v>2</v>
      </c>
      <c r="B4" s="6" t="s">
        <v>11</v>
      </c>
      <c r="C4">
        <v>21.117999999999999</v>
      </c>
      <c r="D4">
        <f>C4/C11</f>
        <v>5.3471142598153651E-2</v>
      </c>
    </row>
    <row r="5" spans="1:4">
      <c r="A5">
        <v>3</v>
      </c>
      <c r="B5" s="6" t="s">
        <v>4</v>
      </c>
      <c r="C5">
        <v>14.955</v>
      </c>
      <c r="D5">
        <f>C5/C11</f>
        <v>3.7866319611487259E-2</v>
      </c>
    </row>
    <row r="6" spans="1:4">
      <c r="A6">
        <v>4</v>
      </c>
      <c r="B6" s="6" t="s">
        <v>5</v>
      </c>
      <c r="C6">
        <v>90.447999999999993</v>
      </c>
      <c r="D6">
        <f>C6/C11</f>
        <v>0.22901590613305242</v>
      </c>
    </row>
    <row r="7" spans="1:4">
      <c r="A7">
        <v>5</v>
      </c>
      <c r="B7" s="6" t="s">
        <v>8</v>
      </c>
      <c r="C7">
        <v>36.018000000000001</v>
      </c>
      <c r="D7">
        <f>C7/C11</f>
        <v>9.11982012548678E-2</v>
      </c>
    </row>
    <row r="8" spans="1:4">
      <c r="A8">
        <v>6</v>
      </c>
      <c r="B8" s="6" t="s">
        <v>12</v>
      </c>
      <c r="C8">
        <v>2.3039999999999998</v>
      </c>
      <c r="D8">
        <f>C8/C11</f>
        <v>5.8337679963133826E-3</v>
      </c>
    </row>
    <row r="9" spans="1:4">
      <c r="A9">
        <v>7</v>
      </c>
      <c r="B9" s="6" t="s">
        <v>6</v>
      </c>
      <c r="C9">
        <v>129.55000000000001</v>
      </c>
      <c r="D9">
        <f>C9/C11</f>
        <v>0.32802284892465228</v>
      </c>
    </row>
    <row r="10" spans="1:4">
      <c r="A10">
        <v>8</v>
      </c>
      <c r="B10" s="6" t="s">
        <v>7</v>
      </c>
      <c r="C10">
        <v>88.453999999999994</v>
      </c>
      <c r="D10">
        <f t="shared" ref="D10" si="0">C10/C11</f>
        <v>0.22396706351818746</v>
      </c>
    </row>
    <row r="11" spans="1:4">
      <c r="A11" t="s">
        <v>13</v>
      </c>
      <c r="B11" s="6"/>
      <c r="C11">
        <f>SUM(C2:C10)</f>
        <v>394.94200000000001</v>
      </c>
    </row>
    <row r="12" spans="1:4">
      <c r="A12" t="s">
        <v>14</v>
      </c>
      <c r="B12" s="6"/>
      <c r="C12">
        <v>0.75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993BA-348A-4186-8FC2-8667505E7A93}">
  <dimension ref="A1:D12"/>
  <sheetViews>
    <sheetView workbookViewId="0">
      <selection activeCell="D10" sqref="D10"/>
    </sheetView>
  </sheetViews>
  <sheetFormatPr defaultRowHeight="15"/>
  <cols>
    <col min="1" max="1" width="11.140625" bestFit="1" customWidth="1"/>
    <col min="2" max="2" width="12" bestFit="1" customWidth="1"/>
    <col min="3" max="3" width="11.85546875" bestFit="1" customWidth="1"/>
  </cols>
  <sheetData>
    <row r="1" spans="1:4">
      <c r="A1" t="s">
        <v>10</v>
      </c>
      <c r="B1" t="s">
        <v>0</v>
      </c>
      <c r="C1" t="s">
        <v>1</v>
      </c>
      <c r="D1" t="s">
        <v>15</v>
      </c>
    </row>
    <row r="2" spans="1:4">
      <c r="A2">
        <v>0</v>
      </c>
      <c r="B2" s="6" t="s">
        <v>2</v>
      </c>
      <c r="C2">
        <v>0</v>
      </c>
      <c r="D2">
        <f>C2/C11</f>
        <v>0</v>
      </c>
    </row>
    <row r="3" spans="1:4">
      <c r="A3">
        <v>1</v>
      </c>
      <c r="B3" s="6" t="s">
        <v>3</v>
      </c>
      <c r="C3">
        <v>5.73</v>
      </c>
      <c r="D3">
        <f>C3/C11</f>
        <v>8.266131940737749E-2</v>
      </c>
    </row>
    <row r="4" spans="1:4">
      <c r="A4">
        <v>2</v>
      </c>
      <c r="B4" s="6" t="s">
        <v>11</v>
      </c>
      <c r="C4">
        <v>3.746</v>
      </c>
      <c r="D4">
        <f>C4/C11</f>
        <v>5.4040017888313446E-2</v>
      </c>
    </row>
    <row r="5" spans="1:4">
      <c r="A5">
        <v>3</v>
      </c>
      <c r="B5" s="6" t="s">
        <v>4</v>
      </c>
      <c r="C5">
        <v>4</v>
      </c>
      <c r="D5">
        <f>C5/C11</f>
        <v>5.7704236933596845E-2</v>
      </c>
    </row>
    <row r="6" spans="1:4">
      <c r="A6">
        <v>4</v>
      </c>
      <c r="B6" s="6" t="s">
        <v>5</v>
      </c>
      <c r="C6">
        <v>22.440999999999999</v>
      </c>
      <c r="D6">
        <f>C6/C11</f>
        <v>0.32373519525671168</v>
      </c>
    </row>
    <row r="7" spans="1:4">
      <c r="A7">
        <v>5</v>
      </c>
      <c r="B7" s="6" t="s">
        <v>8</v>
      </c>
      <c r="C7">
        <v>3.742</v>
      </c>
      <c r="D7">
        <f>C7/C11</f>
        <v>5.398231365137985E-2</v>
      </c>
    </row>
    <row r="8" spans="1:4">
      <c r="A8">
        <v>6</v>
      </c>
      <c r="B8" s="6" t="s">
        <v>12</v>
      </c>
      <c r="C8">
        <v>0</v>
      </c>
      <c r="D8">
        <f>C8/C11</f>
        <v>0</v>
      </c>
    </row>
    <row r="9" spans="1:4">
      <c r="A9">
        <v>7</v>
      </c>
      <c r="B9" s="6" t="s">
        <v>6</v>
      </c>
      <c r="C9">
        <v>17.504000000000001</v>
      </c>
      <c r="D9">
        <f>C9/C11</f>
        <v>0.25251374082141981</v>
      </c>
    </row>
    <row r="10" spans="1:4">
      <c r="A10">
        <v>8</v>
      </c>
      <c r="B10" s="6" t="s">
        <v>7</v>
      </c>
      <c r="C10">
        <v>12.156000000000001</v>
      </c>
      <c r="D10">
        <f t="shared" ref="D10" si="0">C10/C11</f>
        <v>0.17536317604120083</v>
      </c>
    </row>
    <row r="11" spans="1:4">
      <c r="A11" t="s">
        <v>13</v>
      </c>
      <c r="B11" s="6"/>
      <c r="C11">
        <f>SUM(C2:C10)</f>
        <v>69.319000000000003</v>
      </c>
    </row>
    <row r="12" spans="1:4">
      <c r="A12" t="s">
        <v>14</v>
      </c>
      <c r="B12" s="6"/>
      <c r="C12">
        <v>0.85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DA8C90-70D7-4F24-A9FE-1B3CF18F9B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general</vt:lpstr>
      <vt:lpstr>0.4</vt:lpstr>
      <vt:lpstr>0.5</vt:lpstr>
      <vt:lpstr>0.6</vt:lpstr>
      <vt:lpstr>0.7</vt:lpstr>
      <vt:lpstr>0.8</vt:lpstr>
      <vt:lpstr>0.9</vt:lpstr>
      <vt:lpstr>0.45</vt:lpstr>
      <vt:lpstr>0.55</vt:lpstr>
      <vt:lpstr>0.65</vt:lpstr>
      <vt:lpstr>0.75</vt:lpstr>
      <vt:lpstr>0.85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 Mon Tun</cp:lastModifiedBy>
  <dcterms:created xsi:type="dcterms:W3CDTF">2023-11-29T22:46:32Z</dcterms:created>
  <dcterms:modified xsi:type="dcterms:W3CDTF">2024-10-02T13:46:34Z</dcterms:modified>
</cp:coreProperties>
</file>